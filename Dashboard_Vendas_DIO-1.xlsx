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 de Dados" sheetId="2" state="visible" r:id="rId2"/>
    <sheet xmlns:r="http://schemas.openxmlformats.org/officeDocument/2006/relationships" name="Instruções" sheetId="3" state="visible" r:id="rId3"/>
  </sheets>
  <definedNames>
    <definedName name="_xlnm.Print_Area" localSheetId="0">'Dashboard'!$B$2:$L$43</definedName>
    <definedName name="_xlnm._FilterDatabase" localSheetId="1" hidden="1">'Base de Dados'!$A$1:$J$241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"/>
    <numFmt numFmtId="167" formatCode="mmm"/>
    <numFmt numFmtId="168" formatCode="&quot;R$&quot; #,##0"/>
  </numFmts>
  <fonts count="9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22"/>
    </font>
    <font>
      <i val="1"/>
      <color rgb="00667085"/>
      <sz val="10"/>
    </font>
    <font>
      <b val="1"/>
      <color rgb="00FFFFFF"/>
      <sz val="10"/>
    </font>
    <font>
      <b val="1"/>
      <color rgb="0017365D"/>
      <sz val="18"/>
    </font>
    <font>
      <color rgb="00243447"/>
      <sz val="10"/>
    </font>
    <font>
      <b val="1"/>
      <color rgb="00FFFFFF"/>
      <sz val="16"/>
    </font>
    <font>
      <b val="1"/>
      <color rgb="001F4E78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00A6A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hair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167" fontId="0" fillId="8" borderId="2" applyAlignment="1" pivotButton="0" quotePrefix="0" xfId="0">
      <alignment vertical="center"/>
    </xf>
    <xf numFmtId="168" fontId="0" fillId="8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166" fontId="0" fillId="8" borderId="2" applyAlignment="1" pivotButton="0" quotePrefix="0" xfId="0">
      <alignment vertical="center"/>
    </xf>
    <xf numFmtId="167" fontId="0" fillId="9" borderId="2" applyAlignment="1" pivotButton="0" quotePrefix="0" xfId="0">
      <alignment vertical="center"/>
    </xf>
    <xf numFmtId="168" fontId="0" fillId="9" borderId="2" applyAlignment="1" pivotButton="0" quotePrefix="0" xfId="0">
      <alignment vertical="center"/>
    </xf>
    <xf numFmtId="0" fontId="0" fillId="9" borderId="2" applyAlignment="1" pivotButton="0" quotePrefix="0" xfId="0">
      <alignment vertical="center"/>
    </xf>
    <xf numFmtId="166" fontId="0" fillId="9" borderId="2" applyAlignment="1" pivotButton="0" quotePrefix="0" xfId="0">
      <alignment vertical="center"/>
    </xf>
    <xf numFmtId="0" fontId="6" fillId="1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10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'Dashboard'!$B$11:$B$22</f>
            </numRef>
          </cat>
          <val>
            <numRef>
              <f>'Dashboard'!$C$11:$C$22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'Dashboard'!$E$11:$E$13</f>
            </numRef>
          </cat>
          <val>
            <numRef>
              <f>'Dashboard'!$F$11:$F$13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região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'Dashboard'!I10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'Dashboard'!$H$11:$H$15</f>
            </numRef>
          </cat>
          <val>
            <numRef>
              <f>'Dashboard'!$I$11:$I$15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39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486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Vendas" displayName="TabelaVendas" ref="A1:J241" headerRowCount="1">
  <autoFilter ref="A1:J241"/>
  <tableColumns count="10">
    <tableColumn id="1" name="ID Venda"/>
    <tableColumn id="2" name="Data"/>
    <tableColumn id="3" name="Região"/>
    <tableColumn id="4" name="Vendedor"/>
    <tableColumn id="5" name="Categoria"/>
    <tableColumn id="6" name="Produto"/>
    <tableColumn id="7" name="Quantidade"/>
    <tableColumn id="8" name="Preço Unitário (R$)"/>
    <tableColumn id="9" name="Faturamento (R$)"/>
    <tableColumn id="10" name="Forma de Pag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4" customWidth="1" min="4" max="4"/>
    <col width="20" customWidth="1" min="5" max="5"/>
    <col width="18" customWidth="1" min="6" max="6"/>
    <col width="4" customWidth="1" min="7" max="7"/>
    <col width="20" customWidth="1" min="8" max="8"/>
    <col width="18" customWidth="1" min="9" max="9"/>
    <col width="4" customWidth="1" min="10" max="10"/>
    <col width="20" customWidth="1" min="11" max="11"/>
    <col width="18" customWidth="1" min="12" max="12"/>
  </cols>
  <sheetData>
    <row r="2" ht="42" customHeight="1">
      <c r="B2" s="1" t="inlineStr">
        <is>
          <t>DASHBOARD DE VENDAS | 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B3" s="3" t="inlineStr">
        <is>
          <t>Visão geral do desempenho comercial • Dados demonstrativos fictícios • Atualizado até 17/10/2026</t>
        </is>
      </c>
    </row>
    <row r="5" ht="24" customHeight="1">
      <c r="B5" s="4" t="inlineStr">
        <is>
          <t>FATURAMENTO TOTAL</t>
        </is>
      </c>
      <c r="C5" s="5" t="n"/>
      <c r="E5" s="6" t="inlineStr">
        <is>
          <t>UNIDADES VENDIDAS</t>
        </is>
      </c>
      <c r="F5" s="5" t="n"/>
      <c r="H5" s="7" t="inlineStr">
        <is>
          <t>Nº DE VENDAS</t>
        </is>
      </c>
      <c r="I5" s="5" t="n"/>
      <c r="K5" s="8" t="inlineStr">
        <is>
          <t>TICKET MÉDIO</t>
        </is>
      </c>
      <c r="L5" s="5" t="n"/>
    </row>
    <row r="6" ht="25" customHeight="1">
      <c r="B6" s="9">
        <f>SUM('Base de Dados'!I2:I241)</f>
        <v/>
      </c>
      <c r="C6" s="5" t="n"/>
      <c r="E6" s="10">
        <f>SUM('Base de Dados'!G2:G241)</f>
        <v/>
      </c>
      <c r="F6" s="5" t="n"/>
      <c r="H6" s="10">
        <f>COUNTA('Base de Dados'!A2:A241)</f>
        <v/>
      </c>
      <c r="I6" s="5" t="n"/>
      <c r="K6" s="9">
        <f>IFERROR(SUM('Base de Dados'!I2:I241)/COUNTA('Base de Dados'!A2:A241),0)</f>
        <v/>
      </c>
      <c r="L6" s="5" t="n"/>
    </row>
    <row r="7" ht="25" customHeight="1">
      <c r="B7" s="5" t="n"/>
      <c r="C7" s="5" t="n"/>
      <c r="E7" s="5" t="n"/>
      <c r="F7" s="5" t="n"/>
      <c r="H7" s="5" t="n"/>
      <c r="I7" s="5" t="n"/>
      <c r="K7" s="5" t="n"/>
      <c r="L7" s="5" t="n"/>
    </row>
    <row r="10">
      <c r="B10" s="11" t="inlineStr">
        <is>
          <t>MÊS</t>
        </is>
      </c>
      <c r="C10" s="11" t="inlineStr">
        <is>
          <t>FATURAMENTO (R$)</t>
        </is>
      </c>
      <c r="E10" s="11" t="inlineStr">
        <is>
          <t>CATEGORIA</t>
        </is>
      </c>
      <c r="F10" s="11" t="inlineStr">
        <is>
          <t>FATURAMENTO (R$)</t>
        </is>
      </c>
      <c r="H10" s="11" t="inlineStr">
        <is>
          <t>REGIÃO</t>
        </is>
      </c>
      <c r="I10" s="11" t="inlineStr">
        <is>
          <t>FATURAMENTO (R$)</t>
        </is>
      </c>
    </row>
    <row r="11">
      <c r="B11" s="12" t="n">
        <v>46023</v>
      </c>
      <c r="C11" s="13">
        <f>SUMIFS('Base de Dados'!$I$2:$I$241,'Base de Dados'!$B$2:$B$241,"&gt;="&amp;DATE(2026,1,1),'Base de Dados'!$B$2:$B$241,"&lt;"&amp;EDATE(DATE(2026,1,1),1))</f>
        <v/>
      </c>
      <c r="E11" s="14" t="inlineStr">
        <is>
          <t>Informática</t>
        </is>
      </c>
      <c r="F11" s="15">
        <f>SUMIF('Base de Dados'!$E$2:$E$241,E11,'Base de Dados'!$I$2:$I$241)</f>
        <v/>
      </c>
      <c r="H11" s="14" t="inlineStr">
        <is>
          <t>Sudeste</t>
        </is>
      </c>
      <c r="I11" s="13">
        <f>SUMIF('Base de Dados'!$C$2:$C$241,H11,'Base de Dados'!$I$2:$I$241)</f>
        <v/>
      </c>
    </row>
    <row r="12">
      <c r="B12" s="16" t="n">
        <v>46054</v>
      </c>
      <c r="C12" s="17">
        <f>SUMIFS('Base de Dados'!$I$2:$I$241,'Base de Dados'!$B$2:$B$241,"&gt;="&amp;DATE(2026,2,1),'Base de Dados'!$B$2:$B$241,"&lt;"&amp;EDATE(DATE(2026,2,1),1))</f>
        <v/>
      </c>
      <c r="E12" s="18" t="inlineStr">
        <is>
          <t>Acessórios</t>
        </is>
      </c>
      <c r="F12" s="19">
        <f>SUMIF('Base de Dados'!$E$2:$E$241,E12,'Base de Dados'!$I$2:$I$241)</f>
        <v/>
      </c>
      <c r="H12" s="18" t="inlineStr">
        <is>
          <t>Sul</t>
        </is>
      </c>
      <c r="I12" s="17">
        <f>SUMIF('Base de Dados'!$C$2:$C$241,H12,'Base de Dados'!$I$2:$I$241)</f>
        <v/>
      </c>
    </row>
    <row r="13">
      <c r="B13" s="12" t="n">
        <v>46082</v>
      </c>
      <c r="C13" s="13">
        <f>SUMIFS('Base de Dados'!$I$2:$I$241,'Base de Dados'!$B$2:$B$241,"&gt;="&amp;DATE(2026,3,1),'Base de Dados'!$B$2:$B$241,"&lt;"&amp;EDATE(DATE(2026,3,1),1))</f>
        <v/>
      </c>
      <c r="E13" s="14" t="inlineStr">
        <is>
          <t>Telefonia</t>
        </is>
      </c>
      <c r="F13" s="15">
        <f>SUMIF('Base de Dados'!$E$2:$E$241,E13,'Base de Dados'!$I$2:$I$241)</f>
        <v/>
      </c>
      <c r="H13" s="14" t="inlineStr">
        <is>
          <t>Nordeste</t>
        </is>
      </c>
      <c r="I13" s="13">
        <f>SUMIF('Base de Dados'!$C$2:$C$241,H13,'Base de Dados'!$I$2:$I$241)</f>
        <v/>
      </c>
    </row>
    <row r="14">
      <c r="B14" s="16" t="n">
        <v>46113</v>
      </c>
      <c r="C14" s="17">
        <f>SUMIFS('Base de Dados'!$I$2:$I$241,'Base de Dados'!$B$2:$B$241,"&gt;="&amp;DATE(2026,4,1),'Base de Dados'!$B$2:$B$241,"&lt;"&amp;EDATE(DATE(2026,4,1),1))</f>
        <v/>
      </c>
      <c r="E14" s="18" t="n"/>
      <c r="F14" s="18" t="n"/>
      <c r="H14" s="18" t="inlineStr">
        <is>
          <t>Centro-Oeste</t>
        </is>
      </c>
      <c r="I14" s="17">
        <f>SUMIF('Base de Dados'!$C$2:$C$241,H14,'Base de Dados'!$I$2:$I$241)</f>
        <v/>
      </c>
    </row>
    <row r="15">
      <c r="B15" s="12" t="n">
        <v>46143</v>
      </c>
      <c r="C15" s="13">
        <f>SUMIFS('Base de Dados'!$I$2:$I$241,'Base de Dados'!$B$2:$B$241,"&gt;="&amp;DATE(2026,5,1),'Base de Dados'!$B$2:$B$241,"&lt;"&amp;EDATE(DATE(2026,5,1),1))</f>
        <v/>
      </c>
      <c r="E15" s="14" t="n"/>
      <c r="F15" s="14" t="n"/>
      <c r="H15" s="14" t="inlineStr">
        <is>
          <t>Norte</t>
        </is>
      </c>
      <c r="I15" s="13">
        <f>SUMIF('Base de Dados'!$C$2:$C$241,H15,'Base de Dados'!$I$2:$I$241)</f>
        <v/>
      </c>
    </row>
    <row r="16">
      <c r="B16" s="16" t="n">
        <v>46174</v>
      </c>
      <c r="C16" s="17">
        <f>SUMIFS('Base de Dados'!$I$2:$I$241,'Base de Dados'!$B$2:$B$241,"&gt;="&amp;DATE(2026,6,1),'Base de Dados'!$B$2:$B$241,"&lt;"&amp;EDATE(DATE(2026,6,1),1))</f>
        <v/>
      </c>
      <c r="E16" s="18" t="n"/>
      <c r="F16" s="18" t="n"/>
      <c r="H16" s="18" t="n"/>
      <c r="I16" s="18" t="n"/>
    </row>
    <row r="17">
      <c r="B17" s="12" t="n">
        <v>46204</v>
      </c>
      <c r="C17" s="13">
        <f>SUMIFS('Base de Dados'!$I$2:$I$241,'Base de Dados'!$B$2:$B$241,"&gt;="&amp;DATE(2026,7,1),'Base de Dados'!$B$2:$B$241,"&lt;"&amp;EDATE(DATE(2026,7,1),1))</f>
        <v/>
      </c>
      <c r="E17" s="14" t="n"/>
      <c r="F17" s="14" t="n"/>
      <c r="H17" s="14" t="n"/>
      <c r="I17" s="14" t="n"/>
    </row>
    <row r="18">
      <c r="B18" s="16" t="n">
        <v>46235</v>
      </c>
      <c r="C18" s="17">
        <f>SUMIFS('Base de Dados'!$I$2:$I$241,'Base de Dados'!$B$2:$B$241,"&gt;="&amp;DATE(2026,8,1),'Base de Dados'!$B$2:$B$241,"&lt;"&amp;EDATE(DATE(2026,8,1),1))</f>
        <v/>
      </c>
      <c r="E18" s="18" t="n"/>
      <c r="F18" s="18" t="n"/>
      <c r="H18" s="18" t="n"/>
      <c r="I18" s="18" t="n"/>
    </row>
    <row r="19">
      <c r="B19" s="12" t="n">
        <v>46266</v>
      </c>
      <c r="C19" s="13">
        <f>SUMIFS('Base de Dados'!$I$2:$I$241,'Base de Dados'!$B$2:$B$241,"&gt;="&amp;DATE(2026,9,1),'Base de Dados'!$B$2:$B$241,"&lt;"&amp;EDATE(DATE(2026,9,1),1))</f>
        <v/>
      </c>
      <c r="E19" s="14" t="n"/>
      <c r="F19" s="14" t="n"/>
      <c r="H19" s="14" t="n"/>
      <c r="I19" s="14" t="n"/>
    </row>
    <row r="20">
      <c r="B20" s="16" t="n">
        <v>46296</v>
      </c>
      <c r="C20" s="17">
        <f>SUMIFS('Base de Dados'!$I$2:$I$241,'Base de Dados'!$B$2:$B$241,"&gt;="&amp;DATE(2026,10,1),'Base de Dados'!$B$2:$B$241,"&lt;"&amp;EDATE(DATE(2026,10,1),1))</f>
        <v/>
      </c>
      <c r="E20" s="18" t="n"/>
      <c r="F20" s="18" t="n"/>
      <c r="H20" s="18" t="n"/>
      <c r="I20" s="18" t="n"/>
    </row>
    <row r="21">
      <c r="B21" s="12" t="n">
        <v>46327</v>
      </c>
      <c r="C21" s="13">
        <f>SUMIFS('Base de Dados'!$I$2:$I$241,'Base de Dados'!$B$2:$B$241,"&gt;="&amp;DATE(2026,11,1),'Base de Dados'!$B$2:$B$241,"&lt;"&amp;EDATE(DATE(2026,11,1),1))</f>
        <v/>
      </c>
      <c r="E21" s="14" t="n"/>
      <c r="F21" s="14" t="n"/>
      <c r="H21" s="14" t="n"/>
      <c r="I21" s="14" t="n"/>
    </row>
    <row r="22">
      <c r="B22" s="16" t="n">
        <v>46357</v>
      </c>
      <c r="C22" s="17">
        <f>SUMIFS('Base de Dados'!$I$2:$I$241,'Base de Dados'!$B$2:$B$241,"&gt;="&amp;DATE(2026,12,1),'Base de Dados'!$B$2:$B$241,"&lt;"&amp;EDATE(DATE(2026,12,1),1))</f>
        <v/>
      </c>
      <c r="E22" s="18" t="n"/>
      <c r="F22" s="18" t="n"/>
      <c r="H22" s="18" t="n"/>
      <c r="I22" s="18" t="n"/>
    </row>
    <row r="40">
      <c r="H40" s="20" t="inlineStr">
        <is>
          <t>COMO USAR
1. Consulte os indicadores no topo.
2. Explore os gráficos para comparar mês, categoria e região.
3. Para atualizar, acrescente novas linhas à tabela na aba Base de Dados.
Observação: valores e transações são fictícios para fins didáticos.</t>
        </is>
      </c>
    </row>
    <row r="41"/>
    <row r="42"/>
    <row r="43"/>
  </sheetData>
  <mergeCells count="11">
    <mergeCell ref="E6:F7"/>
    <mergeCell ref="H6:I7"/>
    <mergeCell ref="B5:C5"/>
    <mergeCell ref="K6:L7"/>
    <mergeCell ref="B3:L3"/>
    <mergeCell ref="B2:L2"/>
    <mergeCell ref="E5:F5"/>
    <mergeCell ref="K5:L5"/>
    <mergeCell ref="B6:C7"/>
    <mergeCell ref="H5:I5"/>
    <mergeCell ref="H40:L4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8" customWidth="1" min="5" max="5"/>
    <col width="18" customWidth="1" min="6" max="6"/>
    <col width="13" customWidth="1" min="7" max="7"/>
    <col width="22" customWidth="1" min="8" max="8"/>
    <col width="21" customWidth="1" min="9" max="9"/>
    <col width="24" customWidth="1" min="10" max="10"/>
  </cols>
  <sheetData>
    <row r="1" ht="32" customHeight="1">
      <c r="A1" s="21" t="inlineStr">
        <is>
          <t>ID Venda</t>
        </is>
      </c>
      <c r="B1" s="21" t="inlineStr">
        <is>
          <t>Data</t>
        </is>
      </c>
      <c r="C1" s="21" t="inlineStr">
        <is>
          <t>Região</t>
        </is>
      </c>
      <c r="D1" s="21" t="inlineStr">
        <is>
          <t>Vendedor</t>
        </is>
      </c>
      <c r="E1" s="21" t="inlineStr">
        <is>
          <t>Categoria</t>
        </is>
      </c>
      <c r="F1" s="21" t="inlineStr">
        <is>
          <t>Produto</t>
        </is>
      </c>
      <c r="G1" s="21" t="inlineStr">
        <is>
          <t>Quantidade</t>
        </is>
      </c>
      <c r="H1" s="21" t="inlineStr">
        <is>
          <t>Preço Unitário (R$)</t>
        </is>
      </c>
      <c r="I1" s="21" t="inlineStr">
        <is>
          <t>Faturamento (R$)</t>
        </is>
      </c>
      <c r="J1" s="21" t="inlineStr">
        <is>
          <t>Forma de Pagamento</t>
        </is>
      </c>
    </row>
    <row r="2">
      <c r="A2" s="22" t="inlineStr">
        <is>
          <t>V0001</t>
        </is>
      </c>
      <c r="B2" s="23" t="n">
        <v>46080</v>
      </c>
      <c r="C2" s="22" t="inlineStr">
        <is>
          <t>Sul</t>
        </is>
      </c>
      <c r="D2" s="22" t="inlineStr">
        <is>
          <t>Ana Souza</t>
        </is>
      </c>
      <c r="E2" s="22" t="inlineStr">
        <is>
          <t>Informática</t>
        </is>
      </c>
      <c r="F2" s="22" t="inlineStr">
        <is>
          <t>Notebook</t>
        </is>
      </c>
      <c r="G2" s="22" t="n">
        <v>3</v>
      </c>
      <c r="H2" s="24" t="n">
        <v>3069.38</v>
      </c>
      <c r="I2" s="24" t="n">
        <v>9208.139999999999</v>
      </c>
      <c r="J2" s="22" t="inlineStr">
        <is>
          <t>Pix</t>
        </is>
      </c>
    </row>
    <row r="3">
      <c r="A3" s="22" t="inlineStr">
        <is>
          <t>V0002</t>
        </is>
      </c>
      <c r="B3" s="23" t="n">
        <v>46239</v>
      </c>
      <c r="C3" s="22" t="inlineStr">
        <is>
          <t>Norte</t>
        </is>
      </c>
      <c r="D3" s="22" t="inlineStr">
        <is>
          <t>Fernanda Costa</t>
        </is>
      </c>
      <c r="E3" s="22" t="inlineStr">
        <is>
          <t>Informática</t>
        </is>
      </c>
      <c r="F3" s="22" t="inlineStr">
        <is>
          <t>Notebook</t>
        </is>
      </c>
      <c r="G3" s="22" t="n">
        <v>1</v>
      </c>
      <c r="H3" s="24" t="n">
        <v>3055.94</v>
      </c>
      <c r="I3" s="24" t="n">
        <v>3055.94</v>
      </c>
      <c r="J3" s="22" t="inlineStr">
        <is>
          <t>Pix</t>
        </is>
      </c>
    </row>
    <row r="4">
      <c r="A4" s="22" t="inlineStr">
        <is>
          <t>V0003</t>
        </is>
      </c>
      <c r="B4" s="23" t="n">
        <v>46310</v>
      </c>
      <c r="C4" s="22" t="inlineStr">
        <is>
          <t>Centro-Oeste</t>
        </is>
      </c>
      <c r="D4" s="22" t="inlineStr">
        <is>
          <t>Bruno Lima</t>
        </is>
      </c>
      <c r="E4" s="22" t="inlineStr">
        <is>
          <t>Acessórios</t>
        </is>
      </c>
      <c r="F4" s="22" t="inlineStr">
        <is>
          <t>Mouse</t>
        </is>
      </c>
      <c r="G4" s="22" t="n">
        <v>2</v>
      </c>
      <c r="H4" s="24" t="n">
        <v>98.06</v>
      </c>
      <c r="I4" s="24" t="n">
        <v>196.12</v>
      </c>
      <c r="J4" s="22" t="inlineStr">
        <is>
          <t>Boleto</t>
        </is>
      </c>
    </row>
    <row r="5">
      <c r="A5" s="22" t="inlineStr">
        <is>
          <t>V0004</t>
        </is>
      </c>
      <c r="B5" s="23" t="n">
        <v>46165</v>
      </c>
      <c r="C5" s="22" t="inlineStr">
        <is>
          <t>Centro-Oeste</t>
        </is>
      </c>
      <c r="D5" s="22" t="inlineStr">
        <is>
          <t>Carla Mendes</t>
        </is>
      </c>
      <c r="E5" s="22" t="inlineStr">
        <is>
          <t>Informática</t>
        </is>
      </c>
      <c r="F5" s="22" t="inlineStr">
        <is>
          <t>Notebook</t>
        </is>
      </c>
      <c r="G5" s="22" t="n">
        <v>3</v>
      </c>
      <c r="H5" s="24" t="n">
        <v>3025.75</v>
      </c>
      <c r="I5" s="24" t="n">
        <v>9077.25</v>
      </c>
      <c r="J5" s="22" t="inlineStr">
        <is>
          <t>Cartão de débito</t>
        </is>
      </c>
    </row>
    <row r="6">
      <c r="A6" s="22" t="inlineStr">
        <is>
          <t>V0005</t>
        </is>
      </c>
      <c r="B6" s="23" t="n">
        <v>46102</v>
      </c>
      <c r="C6" s="22" t="inlineStr">
        <is>
          <t>Sudeste</t>
        </is>
      </c>
      <c r="D6" s="22" t="inlineStr">
        <is>
          <t>Diego Alves</t>
        </is>
      </c>
      <c r="E6" s="22" t="inlineStr">
        <is>
          <t>Acessórios</t>
        </is>
      </c>
      <c r="F6" s="22" t="inlineStr">
        <is>
          <t>Mouse</t>
        </is>
      </c>
      <c r="G6" s="22" t="n">
        <v>4</v>
      </c>
      <c r="H6" s="24" t="n">
        <v>92.52</v>
      </c>
      <c r="I6" s="24" t="n">
        <v>370.08</v>
      </c>
      <c r="J6" s="22" t="inlineStr">
        <is>
          <t>Pix</t>
        </is>
      </c>
    </row>
    <row r="7">
      <c r="A7" s="22" t="inlineStr">
        <is>
          <t>V0006</t>
        </is>
      </c>
      <c r="B7" s="23" t="n">
        <v>46206</v>
      </c>
      <c r="C7" s="22" t="inlineStr">
        <is>
          <t>Centro-Oeste</t>
        </is>
      </c>
      <c r="D7" s="22" t="inlineStr">
        <is>
          <t>Fernanda Costa</t>
        </is>
      </c>
      <c r="E7" s="22" t="inlineStr">
        <is>
          <t>Telefonia</t>
        </is>
      </c>
      <c r="F7" s="22" t="inlineStr">
        <is>
          <t>Smartphone</t>
        </is>
      </c>
      <c r="G7" s="22" t="n">
        <v>2</v>
      </c>
      <c r="H7" s="24" t="n">
        <v>2203.2</v>
      </c>
      <c r="I7" s="24" t="n">
        <v>4406.4</v>
      </c>
      <c r="J7" s="22" t="inlineStr">
        <is>
          <t>Pix</t>
        </is>
      </c>
    </row>
    <row r="8">
      <c r="A8" s="22" t="inlineStr">
        <is>
          <t>V0007</t>
        </is>
      </c>
      <c r="B8" s="23" t="n">
        <v>46216</v>
      </c>
      <c r="C8" s="22" t="inlineStr">
        <is>
          <t>Norte</t>
        </is>
      </c>
      <c r="D8" s="22" t="inlineStr">
        <is>
          <t>Carla Mendes</t>
        </is>
      </c>
      <c r="E8" s="22" t="inlineStr">
        <is>
          <t>Informática</t>
        </is>
      </c>
      <c r="F8" s="22" t="inlineStr">
        <is>
          <t>Monitor</t>
        </is>
      </c>
      <c r="G8" s="22" t="n">
        <v>2</v>
      </c>
      <c r="H8" s="24" t="n">
        <v>1000.07</v>
      </c>
      <c r="I8" s="24" t="n">
        <v>2000.14</v>
      </c>
      <c r="J8" s="22" t="inlineStr">
        <is>
          <t>Cartão de crédito</t>
        </is>
      </c>
    </row>
    <row r="9">
      <c r="A9" s="22" t="inlineStr">
        <is>
          <t>V0008</t>
        </is>
      </c>
      <c r="B9" s="23" t="n">
        <v>46058</v>
      </c>
      <c r="C9" s="22" t="inlineStr">
        <is>
          <t>Sudeste</t>
        </is>
      </c>
      <c r="D9" s="22" t="inlineStr">
        <is>
          <t>Bruno Lima</t>
        </is>
      </c>
      <c r="E9" s="22" t="inlineStr">
        <is>
          <t>Informática</t>
        </is>
      </c>
      <c r="F9" s="22" t="inlineStr">
        <is>
          <t>Notebook</t>
        </is>
      </c>
      <c r="G9" s="22" t="n">
        <v>2</v>
      </c>
      <c r="H9" s="24" t="n">
        <v>3339.81</v>
      </c>
      <c r="I9" s="24" t="n">
        <v>6679.62</v>
      </c>
      <c r="J9" s="22" t="inlineStr">
        <is>
          <t>Pix</t>
        </is>
      </c>
    </row>
    <row r="10">
      <c r="A10" s="22" t="inlineStr">
        <is>
          <t>V0009</t>
        </is>
      </c>
      <c r="B10" s="23" t="n">
        <v>46217</v>
      </c>
      <c r="C10" s="22" t="inlineStr">
        <is>
          <t>Sul</t>
        </is>
      </c>
      <c r="D10" s="22" t="inlineStr">
        <is>
          <t>Carla Mendes</t>
        </is>
      </c>
      <c r="E10" s="22" t="inlineStr">
        <is>
          <t>Acessórios</t>
        </is>
      </c>
      <c r="F10" s="22" t="inlineStr">
        <is>
          <t>Headset</t>
        </is>
      </c>
      <c r="G10" s="22" t="n">
        <v>2</v>
      </c>
      <c r="H10" s="24" t="n">
        <v>252.83</v>
      </c>
      <c r="I10" s="24" t="n">
        <v>505.66</v>
      </c>
      <c r="J10" s="22" t="inlineStr">
        <is>
          <t>Cartão de débito</t>
        </is>
      </c>
    </row>
    <row r="11">
      <c r="A11" s="22" t="inlineStr">
        <is>
          <t>V0010</t>
        </is>
      </c>
      <c r="B11" s="23" t="n">
        <v>46130</v>
      </c>
      <c r="C11" s="22" t="inlineStr">
        <is>
          <t>Sudeste</t>
        </is>
      </c>
      <c r="D11" s="22" t="inlineStr">
        <is>
          <t>Fernanda Costa</t>
        </is>
      </c>
      <c r="E11" s="22" t="inlineStr">
        <is>
          <t>Acessórios</t>
        </is>
      </c>
      <c r="F11" s="22" t="inlineStr">
        <is>
          <t>Headset</t>
        </is>
      </c>
      <c r="G11" s="22" t="n">
        <v>2</v>
      </c>
      <c r="H11" s="24" t="n">
        <v>247.05</v>
      </c>
      <c r="I11" s="24" t="n">
        <v>494.1</v>
      </c>
      <c r="J11" s="22" t="inlineStr">
        <is>
          <t>Cartão de crédito</t>
        </is>
      </c>
    </row>
    <row r="12">
      <c r="A12" s="22" t="inlineStr">
        <is>
          <t>V0011</t>
        </is>
      </c>
      <c r="B12" s="23" t="n">
        <v>46296</v>
      </c>
      <c r="C12" s="22" t="inlineStr">
        <is>
          <t>Norte</t>
        </is>
      </c>
      <c r="D12" s="22" t="inlineStr">
        <is>
          <t>Bruno Lima</t>
        </is>
      </c>
      <c r="E12" s="22" t="inlineStr">
        <is>
          <t>Acessórios</t>
        </is>
      </c>
      <c r="F12" s="22" t="inlineStr">
        <is>
          <t>Mouse</t>
        </is>
      </c>
      <c r="G12" s="22" t="n">
        <v>1</v>
      </c>
      <c r="H12" s="24" t="n">
        <v>93.17</v>
      </c>
      <c r="I12" s="24" t="n">
        <v>93.17</v>
      </c>
      <c r="J12" s="22" t="inlineStr">
        <is>
          <t>Cartão de débito</t>
        </is>
      </c>
    </row>
    <row r="13">
      <c r="A13" s="22" t="inlineStr">
        <is>
          <t>V0012</t>
        </is>
      </c>
      <c r="B13" s="23" t="n">
        <v>46051</v>
      </c>
      <c r="C13" s="22" t="inlineStr">
        <is>
          <t>Centro-Oeste</t>
        </is>
      </c>
      <c r="D13" s="22" t="inlineStr">
        <is>
          <t>Carla Mendes</t>
        </is>
      </c>
      <c r="E13" s="22" t="inlineStr">
        <is>
          <t>Acessórios</t>
        </is>
      </c>
      <c r="F13" s="22" t="inlineStr">
        <is>
          <t>Mouse</t>
        </is>
      </c>
      <c r="G13" s="22" t="n">
        <v>3</v>
      </c>
      <c r="H13" s="24" t="n">
        <v>99.64</v>
      </c>
      <c r="I13" s="24" t="n">
        <v>298.92</v>
      </c>
      <c r="J13" s="22" t="inlineStr">
        <is>
          <t>Pix</t>
        </is>
      </c>
    </row>
    <row r="14">
      <c r="A14" s="22" t="inlineStr">
        <is>
          <t>V0013</t>
        </is>
      </c>
      <c r="B14" s="23" t="n">
        <v>46131</v>
      </c>
      <c r="C14" s="22" t="inlineStr">
        <is>
          <t>Centro-Oeste</t>
        </is>
      </c>
      <c r="D14" s="22" t="inlineStr">
        <is>
          <t>Diego Alves</t>
        </is>
      </c>
      <c r="E14" s="22" t="inlineStr">
        <is>
          <t>Telefonia</t>
        </is>
      </c>
      <c r="F14" s="22" t="inlineStr">
        <is>
          <t>Smartwatch</t>
        </is>
      </c>
      <c r="G14" s="22" t="n">
        <v>3</v>
      </c>
      <c r="H14" s="24" t="n">
        <v>630.73</v>
      </c>
      <c r="I14" s="24" t="n">
        <v>1892.19</v>
      </c>
      <c r="J14" s="22" t="inlineStr">
        <is>
          <t>Boleto</t>
        </is>
      </c>
    </row>
    <row r="15">
      <c r="A15" s="22" t="inlineStr">
        <is>
          <t>V0014</t>
        </is>
      </c>
      <c r="B15" s="23" t="n">
        <v>46096</v>
      </c>
      <c r="C15" s="22" t="inlineStr">
        <is>
          <t>Norte</t>
        </is>
      </c>
      <c r="D15" s="22" t="inlineStr">
        <is>
          <t>Carla Mendes</t>
        </is>
      </c>
      <c r="E15" s="22" t="inlineStr">
        <is>
          <t>Acessórios</t>
        </is>
      </c>
      <c r="F15" s="22" t="inlineStr">
        <is>
          <t>Headset</t>
        </is>
      </c>
      <c r="G15" s="22" t="n">
        <v>1</v>
      </c>
      <c r="H15" s="24" t="n">
        <v>249.41</v>
      </c>
      <c r="I15" s="24" t="n">
        <v>249.41</v>
      </c>
      <c r="J15" s="22" t="inlineStr">
        <is>
          <t>Boleto</t>
        </is>
      </c>
    </row>
    <row r="16">
      <c r="A16" s="22" t="inlineStr">
        <is>
          <t>V0015</t>
        </is>
      </c>
      <c r="B16" s="23" t="n">
        <v>46227</v>
      </c>
      <c r="C16" s="22" t="inlineStr">
        <is>
          <t>Norte</t>
        </is>
      </c>
      <c r="D16" s="22" t="inlineStr">
        <is>
          <t>Diego Alves</t>
        </is>
      </c>
      <c r="E16" s="22" t="inlineStr">
        <is>
          <t>Telefonia</t>
        </is>
      </c>
      <c r="F16" s="22" t="inlineStr">
        <is>
          <t>Smartphone</t>
        </is>
      </c>
      <c r="G16" s="22" t="n">
        <v>1</v>
      </c>
      <c r="H16" s="24" t="n">
        <v>2267.17</v>
      </c>
      <c r="I16" s="24" t="n">
        <v>2267.17</v>
      </c>
      <c r="J16" s="22" t="inlineStr">
        <is>
          <t>Pix</t>
        </is>
      </c>
    </row>
    <row r="17">
      <c r="A17" s="22" t="inlineStr">
        <is>
          <t>V0016</t>
        </is>
      </c>
      <c r="B17" s="23" t="n">
        <v>46047</v>
      </c>
      <c r="C17" s="22" t="inlineStr">
        <is>
          <t>Centro-Oeste</t>
        </is>
      </c>
      <c r="D17" s="22" t="inlineStr">
        <is>
          <t>Fernanda Costa</t>
        </is>
      </c>
      <c r="E17" s="22" t="inlineStr">
        <is>
          <t>Informática</t>
        </is>
      </c>
      <c r="F17" s="22" t="inlineStr">
        <is>
          <t>Monitor</t>
        </is>
      </c>
      <c r="G17" s="22" t="n">
        <v>1</v>
      </c>
      <c r="H17" s="24" t="n">
        <v>898.3200000000001</v>
      </c>
      <c r="I17" s="24" t="n">
        <v>898.3200000000001</v>
      </c>
      <c r="J17" s="22" t="inlineStr">
        <is>
          <t>Pix</t>
        </is>
      </c>
    </row>
    <row r="18">
      <c r="A18" s="22" t="inlineStr">
        <is>
          <t>V0017</t>
        </is>
      </c>
      <c r="B18" s="23" t="n">
        <v>46220</v>
      </c>
      <c r="C18" s="22" t="inlineStr">
        <is>
          <t>Nordeste</t>
        </is>
      </c>
      <c r="D18" s="22" t="inlineStr">
        <is>
          <t>Fernanda Costa</t>
        </is>
      </c>
      <c r="E18" s="22" t="inlineStr">
        <is>
          <t>Telefonia</t>
        </is>
      </c>
      <c r="F18" s="22" t="inlineStr">
        <is>
          <t>Tablet</t>
        </is>
      </c>
      <c r="G18" s="22" t="n">
        <v>2</v>
      </c>
      <c r="H18" s="24" t="n">
        <v>1343.1</v>
      </c>
      <c r="I18" s="24" t="n">
        <v>2686.2</v>
      </c>
      <c r="J18" s="22" t="inlineStr">
        <is>
          <t>Pix</t>
        </is>
      </c>
    </row>
    <row r="19">
      <c r="A19" s="22" t="inlineStr">
        <is>
          <t>V0018</t>
        </is>
      </c>
      <c r="B19" s="23" t="n">
        <v>46081</v>
      </c>
      <c r="C19" s="22" t="inlineStr">
        <is>
          <t>Nordeste</t>
        </is>
      </c>
      <c r="D19" s="22" t="inlineStr">
        <is>
          <t>Ana Souza</t>
        </is>
      </c>
      <c r="E19" s="22" t="inlineStr">
        <is>
          <t>Acessórios</t>
        </is>
      </c>
      <c r="F19" s="22" t="inlineStr">
        <is>
          <t>Webcam</t>
        </is>
      </c>
      <c r="G19" s="22" t="n">
        <v>3</v>
      </c>
      <c r="H19" s="24" t="n">
        <v>229.45</v>
      </c>
      <c r="I19" s="24" t="n">
        <v>688.35</v>
      </c>
      <c r="J19" s="22" t="inlineStr">
        <is>
          <t>Cartão de débito</t>
        </is>
      </c>
    </row>
    <row r="20">
      <c r="A20" s="22" t="inlineStr">
        <is>
          <t>V0019</t>
        </is>
      </c>
      <c r="B20" s="23" t="n">
        <v>46245</v>
      </c>
      <c r="C20" s="22" t="inlineStr">
        <is>
          <t>Nordeste</t>
        </is>
      </c>
      <c r="D20" s="22" t="inlineStr">
        <is>
          <t>Fernanda Costa</t>
        </is>
      </c>
      <c r="E20" s="22" t="inlineStr">
        <is>
          <t>Acessórios</t>
        </is>
      </c>
      <c r="F20" s="22" t="inlineStr">
        <is>
          <t>Teclado</t>
        </is>
      </c>
      <c r="G20" s="22" t="n">
        <v>2</v>
      </c>
      <c r="H20" s="24" t="n">
        <v>193.07</v>
      </c>
      <c r="I20" s="24" t="n">
        <v>386.14</v>
      </c>
      <c r="J20" s="22" t="inlineStr">
        <is>
          <t>Cartão de crédito</t>
        </is>
      </c>
    </row>
    <row r="21">
      <c r="A21" s="22" t="inlineStr">
        <is>
          <t>V0020</t>
        </is>
      </c>
      <c r="B21" s="23" t="n">
        <v>46282</v>
      </c>
      <c r="C21" s="22" t="inlineStr">
        <is>
          <t>Norte</t>
        </is>
      </c>
      <c r="D21" s="22" t="inlineStr">
        <is>
          <t>Fernanda Costa</t>
        </is>
      </c>
      <c r="E21" s="22" t="inlineStr">
        <is>
          <t>Informática</t>
        </is>
      </c>
      <c r="F21" s="22" t="inlineStr">
        <is>
          <t>Monitor</t>
        </is>
      </c>
      <c r="G21" s="22" t="n">
        <v>3</v>
      </c>
      <c r="H21" s="24" t="n">
        <v>919.36</v>
      </c>
      <c r="I21" s="24" t="n">
        <v>2758.08</v>
      </c>
      <c r="J21" s="22" t="inlineStr">
        <is>
          <t>Cartão de crédito</t>
        </is>
      </c>
    </row>
    <row r="22">
      <c r="A22" s="22" t="inlineStr">
        <is>
          <t>V0021</t>
        </is>
      </c>
      <c r="B22" s="23" t="n">
        <v>46101</v>
      </c>
      <c r="C22" s="22" t="inlineStr">
        <is>
          <t>Norte</t>
        </is>
      </c>
      <c r="D22" s="22" t="inlineStr">
        <is>
          <t>Ana Souza</t>
        </is>
      </c>
      <c r="E22" s="22" t="inlineStr">
        <is>
          <t>Telefonia</t>
        </is>
      </c>
      <c r="F22" s="22" t="inlineStr">
        <is>
          <t>Smartphone</t>
        </is>
      </c>
      <c r="G22" s="22" t="n">
        <v>3</v>
      </c>
      <c r="H22" s="24" t="n">
        <v>2113.23</v>
      </c>
      <c r="I22" s="24" t="n">
        <v>6339.69</v>
      </c>
      <c r="J22" s="22" t="inlineStr">
        <is>
          <t>Cartão de débito</t>
        </is>
      </c>
    </row>
    <row r="23">
      <c r="A23" s="22" t="inlineStr">
        <is>
          <t>V0022</t>
        </is>
      </c>
      <c r="B23" s="23" t="n">
        <v>46273</v>
      </c>
      <c r="C23" s="22" t="inlineStr">
        <is>
          <t>Nordeste</t>
        </is>
      </c>
      <c r="D23" s="22" t="inlineStr">
        <is>
          <t>Bruno Lima</t>
        </is>
      </c>
      <c r="E23" s="22" t="inlineStr">
        <is>
          <t>Informática</t>
        </is>
      </c>
      <c r="F23" s="22" t="inlineStr">
        <is>
          <t>Notebook</t>
        </is>
      </c>
      <c r="G23" s="22" t="n">
        <v>1</v>
      </c>
      <c r="H23" s="24" t="n">
        <v>3129.85</v>
      </c>
      <c r="I23" s="24" t="n">
        <v>3129.85</v>
      </c>
      <c r="J23" s="22" t="inlineStr">
        <is>
          <t>Pix</t>
        </is>
      </c>
    </row>
    <row r="24">
      <c r="A24" s="22" t="inlineStr">
        <is>
          <t>V0023</t>
        </is>
      </c>
      <c r="B24" s="23" t="n">
        <v>46146</v>
      </c>
      <c r="C24" s="22" t="inlineStr">
        <is>
          <t>Centro-Oeste</t>
        </is>
      </c>
      <c r="D24" s="22" t="inlineStr">
        <is>
          <t>Ana Souza</t>
        </is>
      </c>
      <c r="E24" s="22" t="inlineStr">
        <is>
          <t>Telefonia</t>
        </is>
      </c>
      <c r="F24" s="22" t="inlineStr">
        <is>
          <t>Smartwatch</t>
        </is>
      </c>
      <c r="G24" s="22" t="n">
        <v>4</v>
      </c>
      <c r="H24" s="24" t="n">
        <v>606.91</v>
      </c>
      <c r="I24" s="24" t="n">
        <v>2427.64</v>
      </c>
      <c r="J24" s="22" t="inlineStr">
        <is>
          <t>Cartão de crédito</t>
        </is>
      </c>
    </row>
    <row r="25">
      <c r="A25" s="22" t="inlineStr">
        <is>
          <t>V0024</t>
        </is>
      </c>
      <c r="B25" s="23" t="n">
        <v>46088</v>
      </c>
      <c r="C25" s="22" t="inlineStr">
        <is>
          <t>Norte</t>
        </is>
      </c>
      <c r="D25" s="22" t="inlineStr">
        <is>
          <t>Fernanda Costa</t>
        </is>
      </c>
      <c r="E25" s="22" t="inlineStr">
        <is>
          <t>Informática</t>
        </is>
      </c>
      <c r="F25" s="22" t="inlineStr">
        <is>
          <t>Impressora</t>
        </is>
      </c>
      <c r="G25" s="22" t="n">
        <v>4</v>
      </c>
      <c r="H25" s="24" t="n">
        <v>738.21</v>
      </c>
      <c r="I25" s="24" t="n">
        <v>2952.84</v>
      </c>
      <c r="J25" s="22" t="inlineStr">
        <is>
          <t>Boleto</t>
        </is>
      </c>
    </row>
    <row r="26">
      <c r="A26" s="22" t="inlineStr">
        <is>
          <t>V0025</t>
        </is>
      </c>
      <c r="B26" s="23" t="n">
        <v>46131</v>
      </c>
      <c r="C26" s="22" t="inlineStr">
        <is>
          <t>Nordeste</t>
        </is>
      </c>
      <c r="D26" s="22" t="inlineStr">
        <is>
          <t>Diego Alves</t>
        </is>
      </c>
      <c r="E26" s="22" t="inlineStr">
        <is>
          <t>Acessórios</t>
        </is>
      </c>
      <c r="F26" s="22" t="inlineStr">
        <is>
          <t>Webcam</t>
        </is>
      </c>
      <c r="G26" s="22" t="n">
        <v>3</v>
      </c>
      <c r="H26" s="24" t="n">
        <v>226.68</v>
      </c>
      <c r="I26" s="24" t="n">
        <v>680.04</v>
      </c>
      <c r="J26" s="22" t="inlineStr">
        <is>
          <t>Cartão de débito</t>
        </is>
      </c>
    </row>
    <row r="27">
      <c r="A27" s="22" t="inlineStr">
        <is>
          <t>V0026</t>
        </is>
      </c>
      <c r="B27" s="23" t="n">
        <v>46247</v>
      </c>
      <c r="C27" s="22" t="inlineStr">
        <is>
          <t>Sudeste</t>
        </is>
      </c>
      <c r="D27" s="22" t="inlineStr">
        <is>
          <t>Carla Mendes</t>
        </is>
      </c>
      <c r="E27" s="22" t="inlineStr">
        <is>
          <t>Acessórios</t>
        </is>
      </c>
      <c r="F27" s="22" t="inlineStr">
        <is>
          <t>Webcam</t>
        </is>
      </c>
      <c r="G27" s="22" t="n">
        <v>2</v>
      </c>
      <c r="H27" s="24" t="n">
        <v>211.13</v>
      </c>
      <c r="I27" s="24" t="n">
        <v>422.26</v>
      </c>
      <c r="J27" s="22" t="inlineStr">
        <is>
          <t>Pix</t>
        </is>
      </c>
    </row>
    <row r="28">
      <c r="A28" s="22" t="inlineStr">
        <is>
          <t>V0027</t>
        </is>
      </c>
      <c r="B28" s="23" t="n">
        <v>46306</v>
      </c>
      <c r="C28" s="22" t="inlineStr">
        <is>
          <t>Sudeste</t>
        </is>
      </c>
      <c r="D28" s="22" t="inlineStr">
        <is>
          <t>Bruno Lima</t>
        </is>
      </c>
      <c r="E28" s="22" t="inlineStr">
        <is>
          <t>Acessórios</t>
        </is>
      </c>
      <c r="F28" s="22" t="inlineStr">
        <is>
          <t>Mouse</t>
        </is>
      </c>
      <c r="G28" s="22" t="n">
        <v>2</v>
      </c>
      <c r="H28" s="24" t="n">
        <v>87.51000000000001</v>
      </c>
      <c r="I28" s="24" t="n">
        <v>175.02</v>
      </c>
      <c r="J28" s="22" t="inlineStr">
        <is>
          <t>Pix</t>
        </is>
      </c>
    </row>
    <row r="29">
      <c r="A29" s="22" t="inlineStr">
        <is>
          <t>V0028</t>
        </is>
      </c>
      <c r="B29" s="23" t="n">
        <v>46039</v>
      </c>
      <c r="C29" s="22" t="inlineStr">
        <is>
          <t>Centro-Oeste</t>
        </is>
      </c>
      <c r="D29" s="22" t="inlineStr">
        <is>
          <t>Bruno Lima</t>
        </is>
      </c>
      <c r="E29" s="22" t="inlineStr">
        <is>
          <t>Telefonia</t>
        </is>
      </c>
      <c r="F29" s="22" t="inlineStr">
        <is>
          <t>Smartphone</t>
        </is>
      </c>
      <c r="G29" s="22" t="n">
        <v>1</v>
      </c>
      <c r="H29" s="24" t="n">
        <v>2011.97</v>
      </c>
      <c r="I29" s="24" t="n">
        <v>2011.97</v>
      </c>
      <c r="J29" s="22" t="inlineStr">
        <is>
          <t>Cartão de crédito</t>
        </is>
      </c>
    </row>
    <row r="30">
      <c r="A30" s="22" t="inlineStr">
        <is>
          <t>V0029</t>
        </is>
      </c>
      <c r="B30" s="23" t="n">
        <v>46265</v>
      </c>
      <c r="C30" s="22" t="inlineStr">
        <is>
          <t>Sul</t>
        </is>
      </c>
      <c r="D30" s="22" t="inlineStr">
        <is>
          <t>Ana Souza</t>
        </is>
      </c>
      <c r="E30" s="22" t="inlineStr">
        <is>
          <t>Acessórios</t>
        </is>
      </c>
      <c r="F30" s="22" t="inlineStr">
        <is>
          <t>Mouse</t>
        </is>
      </c>
      <c r="G30" s="22" t="n">
        <v>3</v>
      </c>
      <c r="H30" s="24" t="n">
        <v>99.67</v>
      </c>
      <c r="I30" s="24" t="n">
        <v>299.01</v>
      </c>
      <c r="J30" s="22" t="inlineStr">
        <is>
          <t>Pix</t>
        </is>
      </c>
    </row>
    <row r="31">
      <c r="A31" s="22" t="inlineStr">
        <is>
          <t>V0030</t>
        </is>
      </c>
      <c r="B31" s="23" t="n">
        <v>46243</v>
      </c>
      <c r="C31" s="22" t="inlineStr">
        <is>
          <t>Sudeste</t>
        </is>
      </c>
      <c r="D31" s="22" t="inlineStr">
        <is>
          <t>Ana Souza</t>
        </is>
      </c>
      <c r="E31" s="22" t="inlineStr">
        <is>
          <t>Telefonia</t>
        </is>
      </c>
      <c r="F31" s="22" t="inlineStr">
        <is>
          <t>Smartphone</t>
        </is>
      </c>
      <c r="G31" s="22" t="n">
        <v>2</v>
      </c>
      <c r="H31" s="24" t="n">
        <v>2088.92</v>
      </c>
      <c r="I31" s="24" t="n">
        <v>4177.84</v>
      </c>
      <c r="J31" s="22" t="inlineStr">
        <is>
          <t>Pix</t>
        </is>
      </c>
    </row>
    <row r="32">
      <c r="A32" s="22" t="inlineStr">
        <is>
          <t>V0031</t>
        </is>
      </c>
      <c r="B32" s="23" t="n">
        <v>46229</v>
      </c>
      <c r="C32" s="22" t="inlineStr">
        <is>
          <t>Sul</t>
        </is>
      </c>
      <c r="D32" s="22" t="inlineStr">
        <is>
          <t>Bruno Lima</t>
        </is>
      </c>
      <c r="E32" s="22" t="inlineStr">
        <is>
          <t>Telefonia</t>
        </is>
      </c>
      <c r="F32" s="22" t="inlineStr">
        <is>
          <t>Smartphone</t>
        </is>
      </c>
      <c r="G32" s="22" t="n">
        <v>3</v>
      </c>
      <c r="H32" s="24" t="n">
        <v>1968.71</v>
      </c>
      <c r="I32" s="24" t="n">
        <v>5906.13</v>
      </c>
      <c r="J32" s="22" t="inlineStr">
        <is>
          <t>Boleto</t>
        </is>
      </c>
    </row>
    <row r="33">
      <c r="A33" s="22" t="inlineStr">
        <is>
          <t>V0032</t>
        </is>
      </c>
      <c r="B33" s="23" t="n">
        <v>46094</v>
      </c>
      <c r="C33" s="22" t="inlineStr">
        <is>
          <t>Sudeste</t>
        </is>
      </c>
      <c r="D33" s="22" t="inlineStr">
        <is>
          <t>Diego Alves</t>
        </is>
      </c>
      <c r="E33" s="22" t="inlineStr">
        <is>
          <t>Telefonia</t>
        </is>
      </c>
      <c r="F33" s="22" t="inlineStr">
        <is>
          <t>Tablet</t>
        </is>
      </c>
      <c r="G33" s="22" t="n">
        <v>1</v>
      </c>
      <c r="H33" s="24" t="n">
        <v>1341.93</v>
      </c>
      <c r="I33" s="24" t="n">
        <v>1341.93</v>
      </c>
      <c r="J33" s="22" t="inlineStr">
        <is>
          <t>Pix</t>
        </is>
      </c>
    </row>
    <row r="34">
      <c r="A34" s="22" t="inlineStr">
        <is>
          <t>V0033</t>
        </is>
      </c>
      <c r="B34" s="23" t="n">
        <v>46048</v>
      </c>
      <c r="C34" s="22" t="inlineStr">
        <is>
          <t>Sul</t>
        </is>
      </c>
      <c r="D34" s="22" t="inlineStr">
        <is>
          <t>Bruno Lima</t>
        </is>
      </c>
      <c r="E34" s="22" t="inlineStr">
        <is>
          <t>Acessórios</t>
        </is>
      </c>
      <c r="F34" s="22" t="inlineStr">
        <is>
          <t>Webcam</t>
        </is>
      </c>
      <c r="G34" s="22" t="n">
        <v>3</v>
      </c>
      <c r="H34" s="24" t="n">
        <v>236.51</v>
      </c>
      <c r="I34" s="24" t="n">
        <v>709.53</v>
      </c>
      <c r="J34" s="22" t="inlineStr">
        <is>
          <t>Boleto</t>
        </is>
      </c>
    </row>
    <row r="35">
      <c r="A35" s="22" t="inlineStr">
        <is>
          <t>V0034</t>
        </is>
      </c>
      <c r="B35" s="23" t="n">
        <v>46271</v>
      </c>
      <c r="C35" s="22" t="inlineStr">
        <is>
          <t>Sudeste</t>
        </is>
      </c>
      <c r="D35" s="22" t="inlineStr">
        <is>
          <t>Bruno Lima</t>
        </is>
      </c>
      <c r="E35" s="22" t="inlineStr">
        <is>
          <t>Informática</t>
        </is>
      </c>
      <c r="F35" s="22" t="inlineStr">
        <is>
          <t>Impressora</t>
        </is>
      </c>
      <c r="G35" s="22" t="n">
        <v>1</v>
      </c>
      <c r="H35" s="24" t="n">
        <v>767.65</v>
      </c>
      <c r="I35" s="24" t="n">
        <v>767.65</v>
      </c>
      <c r="J35" s="22" t="inlineStr">
        <is>
          <t>Boleto</t>
        </is>
      </c>
    </row>
    <row r="36">
      <c r="A36" s="22" t="inlineStr">
        <is>
          <t>V0035</t>
        </is>
      </c>
      <c r="B36" s="23" t="n">
        <v>46024</v>
      </c>
      <c r="C36" s="22" t="inlineStr">
        <is>
          <t>Centro-Oeste</t>
        </is>
      </c>
      <c r="D36" s="22" t="inlineStr">
        <is>
          <t>Carla Mendes</t>
        </is>
      </c>
      <c r="E36" s="22" t="inlineStr">
        <is>
          <t>Telefonia</t>
        </is>
      </c>
      <c r="F36" s="22" t="inlineStr">
        <is>
          <t>Tablet</t>
        </is>
      </c>
      <c r="G36" s="22" t="n">
        <v>1</v>
      </c>
      <c r="H36" s="24" t="n">
        <v>1411.36</v>
      </c>
      <c r="I36" s="24" t="n">
        <v>1411.36</v>
      </c>
      <c r="J36" s="22" t="inlineStr">
        <is>
          <t>Boleto</t>
        </is>
      </c>
    </row>
    <row r="37">
      <c r="A37" s="22" t="inlineStr">
        <is>
          <t>V0036</t>
        </is>
      </c>
      <c r="B37" s="23" t="n">
        <v>46307</v>
      </c>
      <c r="C37" s="22" t="inlineStr">
        <is>
          <t>Sudeste</t>
        </is>
      </c>
      <c r="D37" s="22" t="inlineStr">
        <is>
          <t>Fernanda Costa</t>
        </is>
      </c>
      <c r="E37" s="22" t="inlineStr">
        <is>
          <t>Informática</t>
        </is>
      </c>
      <c r="F37" s="22" t="inlineStr">
        <is>
          <t>Impressora</t>
        </is>
      </c>
      <c r="G37" s="22" t="n">
        <v>1</v>
      </c>
      <c r="H37" s="24" t="n">
        <v>754.63</v>
      </c>
      <c r="I37" s="24" t="n">
        <v>754.63</v>
      </c>
      <c r="J37" s="22" t="inlineStr">
        <is>
          <t>Pix</t>
        </is>
      </c>
    </row>
    <row r="38">
      <c r="A38" s="22" t="inlineStr">
        <is>
          <t>V0037</t>
        </is>
      </c>
      <c r="B38" s="23" t="n">
        <v>46183</v>
      </c>
      <c r="C38" s="22" t="inlineStr">
        <is>
          <t>Norte</t>
        </is>
      </c>
      <c r="D38" s="22" t="inlineStr">
        <is>
          <t>Bruno Lima</t>
        </is>
      </c>
      <c r="E38" s="22" t="inlineStr">
        <is>
          <t>Informática</t>
        </is>
      </c>
      <c r="F38" s="22" t="inlineStr">
        <is>
          <t>Notebook</t>
        </is>
      </c>
      <c r="G38" s="22" t="n">
        <v>1</v>
      </c>
      <c r="H38" s="24" t="n">
        <v>3188.12</v>
      </c>
      <c r="I38" s="24" t="n">
        <v>3188.12</v>
      </c>
      <c r="J38" s="22" t="inlineStr">
        <is>
          <t>Pix</t>
        </is>
      </c>
    </row>
    <row r="39">
      <c r="A39" s="22" t="inlineStr">
        <is>
          <t>V0038</t>
        </is>
      </c>
      <c r="B39" s="23" t="n">
        <v>46283</v>
      </c>
      <c r="C39" s="22" t="inlineStr">
        <is>
          <t>Sudeste</t>
        </is>
      </c>
      <c r="D39" s="22" t="inlineStr">
        <is>
          <t>Bruno Lima</t>
        </is>
      </c>
      <c r="E39" s="22" t="inlineStr">
        <is>
          <t>Informática</t>
        </is>
      </c>
      <c r="F39" s="22" t="inlineStr">
        <is>
          <t>Monitor</t>
        </is>
      </c>
      <c r="G39" s="22" t="n">
        <v>3</v>
      </c>
      <c r="H39" s="24" t="n">
        <v>884.42</v>
      </c>
      <c r="I39" s="24" t="n">
        <v>2653.26</v>
      </c>
      <c r="J39" s="22" t="inlineStr">
        <is>
          <t>Boleto</t>
        </is>
      </c>
    </row>
    <row r="40">
      <c r="A40" s="22" t="inlineStr">
        <is>
          <t>V0039</t>
        </is>
      </c>
      <c r="B40" s="23" t="n">
        <v>46084</v>
      </c>
      <c r="C40" s="22" t="inlineStr">
        <is>
          <t>Norte</t>
        </is>
      </c>
      <c r="D40" s="22" t="inlineStr">
        <is>
          <t>Ana Souza</t>
        </is>
      </c>
      <c r="E40" s="22" t="inlineStr">
        <is>
          <t>Telefonia</t>
        </is>
      </c>
      <c r="F40" s="22" t="inlineStr">
        <is>
          <t>Smartwatch</t>
        </is>
      </c>
      <c r="G40" s="22" t="n">
        <v>1</v>
      </c>
      <c r="H40" s="24" t="n">
        <v>659.83</v>
      </c>
      <c r="I40" s="24" t="n">
        <v>659.83</v>
      </c>
      <c r="J40" s="22" t="inlineStr">
        <is>
          <t>Boleto</t>
        </is>
      </c>
    </row>
    <row r="41">
      <c r="A41" s="22" t="inlineStr">
        <is>
          <t>V0040</t>
        </is>
      </c>
      <c r="B41" s="23" t="n">
        <v>46312</v>
      </c>
      <c r="C41" s="22" t="inlineStr">
        <is>
          <t>Nordeste</t>
        </is>
      </c>
      <c r="D41" s="22" t="inlineStr">
        <is>
          <t>Bruno Lima</t>
        </is>
      </c>
      <c r="E41" s="22" t="inlineStr">
        <is>
          <t>Acessórios</t>
        </is>
      </c>
      <c r="F41" s="22" t="inlineStr">
        <is>
          <t>Webcam</t>
        </is>
      </c>
      <c r="G41" s="22" t="n">
        <v>1</v>
      </c>
      <c r="H41" s="24" t="n">
        <v>211.58</v>
      </c>
      <c r="I41" s="24" t="n">
        <v>211.58</v>
      </c>
      <c r="J41" s="22" t="inlineStr">
        <is>
          <t>Cartão de débito</t>
        </is>
      </c>
    </row>
    <row r="42">
      <c r="A42" s="22" t="inlineStr">
        <is>
          <t>V0041</t>
        </is>
      </c>
      <c r="B42" s="23" t="n">
        <v>46225</v>
      </c>
      <c r="C42" s="22" t="inlineStr">
        <is>
          <t>Nordeste</t>
        </is>
      </c>
      <c r="D42" s="22" t="inlineStr">
        <is>
          <t>Ana Souza</t>
        </is>
      </c>
      <c r="E42" s="22" t="inlineStr">
        <is>
          <t>Acessórios</t>
        </is>
      </c>
      <c r="F42" s="22" t="inlineStr">
        <is>
          <t>Teclado</t>
        </is>
      </c>
      <c r="G42" s="22" t="n">
        <v>2</v>
      </c>
      <c r="H42" s="24" t="n">
        <v>174.24</v>
      </c>
      <c r="I42" s="24" t="n">
        <v>348.48</v>
      </c>
      <c r="J42" s="22" t="inlineStr">
        <is>
          <t>Pix</t>
        </is>
      </c>
    </row>
    <row r="43">
      <c r="A43" s="22" t="inlineStr">
        <is>
          <t>V0042</t>
        </is>
      </c>
      <c r="B43" s="23" t="n">
        <v>46257</v>
      </c>
      <c r="C43" s="22" t="inlineStr">
        <is>
          <t>Sudeste</t>
        </is>
      </c>
      <c r="D43" s="22" t="inlineStr">
        <is>
          <t>Fernanda Costa</t>
        </is>
      </c>
      <c r="E43" s="22" t="inlineStr">
        <is>
          <t>Telefonia</t>
        </is>
      </c>
      <c r="F43" s="22" t="inlineStr">
        <is>
          <t>Smartwatch</t>
        </is>
      </c>
      <c r="G43" s="22" t="n">
        <v>5</v>
      </c>
      <c r="H43" s="24" t="n">
        <v>701.59</v>
      </c>
      <c r="I43" s="24" t="n">
        <v>3507.95</v>
      </c>
      <c r="J43" s="22" t="inlineStr">
        <is>
          <t>Cartão de crédito</t>
        </is>
      </c>
    </row>
    <row r="44">
      <c r="A44" s="22" t="inlineStr">
        <is>
          <t>V0043</t>
        </is>
      </c>
      <c r="B44" s="23" t="n">
        <v>46282</v>
      </c>
      <c r="C44" s="22" t="inlineStr">
        <is>
          <t>Sudeste</t>
        </is>
      </c>
      <c r="D44" s="22" t="inlineStr">
        <is>
          <t>Bruno Lima</t>
        </is>
      </c>
      <c r="E44" s="22" t="inlineStr">
        <is>
          <t>Acessórios</t>
        </is>
      </c>
      <c r="F44" s="22" t="inlineStr">
        <is>
          <t>Headset</t>
        </is>
      </c>
      <c r="G44" s="22" t="n">
        <v>1</v>
      </c>
      <c r="H44" s="24" t="n">
        <v>234.2</v>
      </c>
      <c r="I44" s="24" t="n">
        <v>234.2</v>
      </c>
      <c r="J44" s="22" t="inlineStr">
        <is>
          <t>Cartão de débito</t>
        </is>
      </c>
    </row>
    <row r="45">
      <c r="A45" s="22" t="inlineStr">
        <is>
          <t>V0044</t>
        </is>
      </c>
      <c r="B45" s="23" t="n">
        <v>46168</v>
      </c>
      <c r="C45" s="22" t="inlineStr">
        <is>
          <t>Nordeste</t>
        </is>
      </c>
      <c r="D45" s="22" t="inlineStr">
        <is>
          <t>Fernanda Costa</t>
        </is>
      </c>
      <c r="E45" s="22" t="inlineStr">
        <is>
          <t>Acessórios</t>
        </is>
      </c>
      <c r="F45" s="22" t="inlineStr">
        <is>
          <t>Teclado</t>
        </is>
      </c>
      <c r="G45" s="22" t="n">
        <v>2</v>
      </c>
      <c r="H45" s="24" t="n">
        <v>181.24</v>
      </c>
      <c r="I45" s="24" t="n">
        <v>362.48</v>
      </c>
      <c r="J45" s="22" t="inlineStr">
        <is>
          <t>Pix</t>
        </is>
      </c>
    </row>
    <row r="46">
      <c r="A46" s="22" t="inlineStr">
        <is>
          <t>V0045</t>
        </is>
      </c>
      <c r="B46" s="23" t="n">
        <v>46306</v>
      </c>
      <c r="C46" s="22" t="inlineStr">
        <is>
          <t>Sul</t>
        </is>
      </c>
      <c r="D46" s="22" t="inlineStr">
        <is>
          <t>Carla Mendes</t>
        </is>
      </c>
      <c r="E46" s="22" t="inlineStr">
        <is>
          <t>Acessórios</t>
        </is>
      </c>
      <c r="F46" s="22" t="inlineStr">
        <is>
          <t>Headset</t>
        </is>
      </c>
      <c r="G46" s="22" t="n">
        <v>4</v>
      </c>
      <c r="H46" s="24" t="n">
        <v>224.78</v>
      </c>
      <c r="I46" s="24" t="n">
        <v>899.12</v>
      </c>
      <c r="J46" s="22" t="inlineStr">
        <is>
          <t>Pix</t>
        </is>
      </c>
    </row>
    <row r="47">
      <c r="A47" s="22" t="inlineStr">
        <is>
          <t>V0046</t>
        </is>
      </c>
      <c r="B47" s="23" t="n">
        <v>46077</v>
      </c>
      <c r="C47" s="22" t="inlineStr">
        <is>
          <t>Sul</t>
        </is>
      </c>
      <c r="D47" s="22" t="inlineStr">
        <is>
          <t>Carla Mendes</t>
        </is>
      </c>
      <c r="E47" s="22" t="inlineStr">
        <is>
          <t>Acessórios</t>
        </is>
      </c>
      <c r="F47" s="22" t="inlineStr">
        <is>
          <t>Webcam</t>
        </is>
      </c>
      <c r="G47" s="22" t="n">
        <v>1</v>
      </c>
      <c r="H47" s="24" t="n">
        <v>212.32</v>
      </c>
      <c r="I47" s="24" t="n">
        <v>212.32</v>
      </c>
      <c r="J47" s="22" t="inlineStr">
        <is>
          <t>Cartão de crédito</t>
        </is>
      </c>
    </row>
    <row r="48">
      <c r="A48" s="22" t="inlineStr">
        <is>
          <t>V0047</t>
        </is>
      </c>
      <c r="B48" s="23" t="n">
        <v>46158</v>
      </c>
      <c r="C48" s="22" t="inlineStr">
        <is>
          <t>Sudeste</t>
        </is>
      </c>
      <c r="D48" s="22" t="inlineStr">
        <is>
          <t>Ana Souza</t>
        </is>
      </c>
      <c r="E48" s="22" t="inlineStr">
        <is>
          <t>Acessórios</t>
        </is>
      </c>
      <c r="F48" s="22" t="inlineStr">
        <is>
          <t>Webcam</t>
        </is>
      </c>
      <c r="G48" s="22" t="n">
        <v>2</v>
      </c>
      <c r="H48" s="24" t="n">
        <v>234.27</v>
      </c>
      <c r="I48" s="24" t="n">
        <v>468.54</v>
      </c>
      <c r="J48" s="22" t="inlineStr">
        <is>
          <t>Boleto</t>
        </is>
      </c>
    </row>
    <row r="49">
      <c r="A49" s="22" t="inlineStr">
        <is>
          <t>V0048</t>
        </is>
      </c>
      <c r="B49" s="23" t="n">
        <v>46164</v>
      </c>
      <c r="C49" s="22" t="inlineStr">
        <is>
          <t>Nordeste</t>
        </is>
      </c>
      <c r="D49" s="22" t="inlineStr">
        <is>
          <t>Bruno Lima</t>
        </is>
      </c>
      <c r="E49" s="22" t="inlineStr">
        <is>
          <t>Informática</t>
        </is>
      </c>
      <c r="F49" s="22" t="inlineStr">
        <is>
          <t>Notebook</t>
        </is>
      </c>
      <c r="G49" s="22" t="n">
        <v>1</v>
      </c>
      <c r="H49" s="24" t="n">
        <v>3338.81</v>
      </c>
      <c r="I49" s="24" t="n">
        <v>3338.81</v>
      </c>
      <c r="J49" s="22" t="inlineStr">
        <is>
          <t>Boleto</t>
        </is>
      </c>
    </row>
    <row r="50">
      <c r="A50" s="22" t="inlineStr">
        <is>
          <t>V0049</t>
        </is>
      </c>
      <c r="B50" s="23" t="n">
        <v>46305</v>
      </c>
      <c r="C50" s="22" t="inlineStr">
        <is>
          <t>Sul</t>
        </is>
      </c>
      <c r="D50" s="22" t="inlineStr">
        <is>
          <t>Fernanda Costa</t>
        </is>
      </c>
      <c r="E50" s="22" t="inlineStr">
        <is>
          <t>Telefonia</t>
        </is>
      </c>
      <c r="F50" s="22" t="inlineStr">
        <is>
          <t>Tablet</t>
        </is>
      </c>
      <c r="G50" s="22" t="n">
        <v>2</v>
      </c>
      <c r="H50" s="24" t="n">
        <v>1266.16</v>
      </c>
      <c r="I50" s="24" t="n">
        <v>2532.32</v>
      </c>
      <c r="J50" s="22" t="inlineStr">
        <is>
          <t>Pix</t>
        </is>
      </c>
    </row>
    <row r="51">
      <c r="A51" s="22" t="inlineStr">
        <is>
          <t>V0050</t>
        </is>
      </c>
      <c r="B51" s="23" t="n">
        <v>46212</v>
      </c>
      <c r="C51" s="22" t="inlineStr">
        <is>
          <t>Sudeste</t>
        </is>
      </c>
      <c r="D51" s="22" t="inlineStr">
        <is>
          <t>Carla Mendes</t>
        </is>
      </c>
      <c r="E51" s="22" t="inlineStr">
        <is>
          <t>Telefonia</t>
        </is>
      </c>
      <c r="F51" s="22" t="inlineStr">
        <is>
          <t>Smartwatch</t>
        </is>
      </c>
      <c r="G51" s="22" t="n">
        <v>2</v>
      </c>
      <c r="H51" s="24" t="n">
        <v>642.7</v>
      </c>
      <c r="I51" s="24" t="n">
        <v>1285.4</v>
      </c>
      <c r="J51" s="22" t="inlineStr">
        <is>
          <t>Cartão de débito</t>
        </is>
      </c>
    </row>
    <row r="52">
      <c r="A52" s="22" t="inlineStr">
        <is>
          <t>V0051</t>
        </is>
      </c>
      <c r="B52" s="23" t="n">
        <v>46043</v>
      </c>
      <c r="C52" s="22" t="inlineStr">
        <is>
          <t>Sudeste</t>
        </is>
      </c>
      <c r="D52" s="22" t="inlineStr">
        <is>
          <t>Carla Mendes</t>
        </is>
      </c>
      <c r="E52" s="22" t="inlineStr">
        <is>
          <t>Telefonia</t>
        </is>
      </c>
      <c r="F52" s="22" t="inlineStr">
        <is>
          <t>Smartphone</t>
        </is>
      </c>
      <c r="G52" s="22" t="n">
        <v>1</v>
      </c>
      <c r="H52" s="24" t="n">
        <v>2015.84</v>
      </c>
      <c r="I52" s="24" t="n">
        <v>2015.84</v>
      </c>
      <c r="J52" s="22" t="inlineStr">
        <is>
          <t>Boleto</t>
        </is>
      </c>
    </row>
    <row r="53">
      <c r="A53" s="22" t="inlineStr">
        <is>
          <t>V0052</t>
        </is>
      </c>
      <c r="B53" s="23" t="n">
        <v>46102</v>
      </c>
      <c r="C53" s="22" t="inlineStr">
        <is>
          <t>Sul</t>
        </is>
      </c>
      <c r="D53" s="22" t="inlineStr">
        <is>
          <t>Diego Alves</t>
        </is>
      </c>
      <c r="E53" s="22" t="inlineStr">
        <is>
          <t>Acessórios</t>
        </is>
      </c>
      <c r="F53" s="22" t="inlineStr">
        <is>
          <t>Mouse</t>
        </is>
      </c>
      <c r="G53" s="22" t="n">
        <v>3</v>
      </c>
      <c r="H53" s="24" t="n">
        <v>102.24</v>
      </c>
      <c r="I53" s="24" t="n">
        <v>306.72</v>
      </c>
      <c r="J53" s="22" t="inlineStr">
        <is>
          <t>Pix</t>
        </is>
      </c>
    </row>
    <row r="54">
      <c r="A54" s="22" t="inlineStr">
        <is>
          <t>V0053</t>
        </is>
      </c>
      <c r="B54" s="23" t="n">
        <v>46114</v>
      </c>
      <c r="C54" s="22" t="inlineStr">
        <is>
          <t>Sul</t>
        </is>
      </c>
      <c r="D54" s="22" t="inlineStr">
        <is>
          <t>Carla Mendes</t>
        </is>
      </c>
      <c r="E54" s="22" t="inlineStr">
        <is>
          <t>Telefonia</t>
        </is>
      </c>
      <c r="F54" s="22" t="inlineStr">
        <is>
          <t>Smartphone</t>
        </is>
      </c>
      <c r="G54" s="22" t="n">
        <v>3</v>
      </c>
      <c r="H54" s="24" t="n">
        <v>2070.34</v>
      </c>
      <c r="I54" s="24" t="n">
        <v>6211.02</v>
      </c>
      <c r="J54" s="22" t="inlineStr">
        <is>
          <t>Cartão de crédito</t>
        </is>
      </c>
    </row>
    <row r="55">
      <c r="A55" s="22" t="inlineStr">
        <is>
          <t>V0054</t>
        </is>
      </c>
      <c r="B55" s="23" t="n">
        <v>46078</v>
      </c>
      <c r="C55" s="22" t="inlineStr">
        <is>
          <t>Sul</t>
        </is>
      </c>
      <c r="D55" s="22" t="inlineStr">
        <is>
          <t>Bruno Lima</t>
        </is>
      </c>
      <c r="E55" s="22" t="inlineStr">
        <is>
          <t>Telefonia</t>
        </is>
      </c>
      <c r="F55" s="22" t="inlineStr">
        <is>
          <t>Tablet</t>
        </is>
      </c>
      <c r="G55" s="22" t="n">
        <v>3</v>
      </c>
      <c r="H55" s="24" t="n">
        <v>1427.46</v>
      </c>
      <c r="I55" s="24" t="n">
        <v>4282.38</v>
      </c>
      <c r="J55" s="22" t="inlineStr">
        <is>
          <t>Boleto</t>
        </is>
      </c>
    </row>
    <row r="56">
      <c r="A56" s="22" t="inlineStr">
        <is>
          <t>V0055</t>
        </is>
      </c>
      <c r="B56" s="23" t="n">
        <v>46202</v>
      </c>
      <c r="C56" s="22" t="inlineStr">
        <is>
          <t>Sul</t>
        </is>
      </c>
      <c r="D56" s="22" t="inlineStr">
        <is>
          <t>Ana Souza</t>
        </is>
      </c>
      <c r="E56" s="22" t="inlineStr">
        <is>
          <t>Acessórios</t>
        </is>
      </c>
      <c r="F56" s="22" t="inlineStr">
        <is>
          <t>Headset</t>
        </is>
      </c>
      <c r="G56" s="22" t="n">
        <v>3</v>
      </c>
      <c r="H56" s="24" t="n">
        <v>254.26</v>
      </c>
      <c r="I56" s="24" t="n">
        <v>762.78</v>
      </c>
      <c r="J56" s="22" t="inlineStr">
        <is>
          <t>Cartão de crédito</t>
        </is>
      </c>
    </row>
    <row r="57">
      <c r="A57" s="22" t="inlineStr">
        <is>
          <t>V0056</t>
        </is>
      </c>
      <c r="B57" s="23" t="n">
        <v>46227</v>
      </c>
      <c r="C57" s="22" t="inlineStr">
        <is>
          <t>Nordeste</t>
        </is>
      </c>
      <c r="D57" s="22" t="inlineStr">
        <is>
          <t>Carla Mendes</t>
        </is>
      </c>
      <c r="E57" s="22" t="inlineStr">
        <is>
          <t>Telefonia</t>
        </is>
      </c>
      <c r="F57" s="22" t="inlineStr">
        <is>
          <t>Smartphone</t>
        </is>
      </c>
      <c r="G57" s="22" t="n">
        <v>1</v>
      </c>
      <c r="H57" s="24" t="n">
        <v>1955.33</v>
      </c>
      <c r="I57" s="24" t="n">
        <v>1955.33</v>
      </c>
      <c r="J57" s="22" t="inlineStr">
        <is>
          <t>Boleto</t>
        </is>
      </c>
    </row>
    <row r="58">
      <c r="A58" s="22" t="inlineStr">
        <is>
          <t>V0057</t>
        </is>
      </c>
      <c r="B58" s="23" t="n">
        <v>46297</v>
      </c>
      <c r="C58" s="22" t="inlineStr">
        <is>
          <t>Nordeste</t>
        </is>
      </c>
      <c r="D58" s="22" t="inlineStr">
        <is>
          <t>Bruno Lima</t>
        </is>
      </c>
      <c r="E58" s="22" t="inlineStr">
        <is>
          <t>Telefonia</t>
        </is>
      </c>
      <c r="F58" s="22" t="inlineStr">
        <is>
          <t>Smartphone</t>
        </is>
      </c>
      <c r="G58" s="22" t="n">
        <v>4</v>
      </c>
      <c r="H58" s="24" t="n">
        <v>1970.75</v>
      </c>
      <c r="I58" s="24" t="n">
        <v>7883</v>
      </c>
      <c r="J58" s="22" t="inlineStr">
        <is>
          <t>Cartão de débito</t>
        </is>
      </c>
    </row>
    <row r="59">
      <c r="A59" s="22" t="inlineStr">
        <is>
          <t>V0058</t>
        </is>
      </c>
      <c r="B59" s="23" t="n">
        <v>46042</v>
      </c>
      <c r="C59" s="22" t="inlineStr">
        <is>
          <t>Nordeste</t>
        </is>
      </c>
      <c r="D59" s="22" t="inlineStr">
        <is>
          <t>Diego Alves</t>
        </is>
      </c>
      <c r="E59" s="22" t="inlineStr">
        <is>
          <t>Informática</t>
        </is>
      </c>
      <c r="F59" s="22" t="inlineStr">
        <is>
          <t>Monitor</t>
        </is>
      </c>
      <c r="G59" s="22" t="n">
        <v>2</v>
      </c>
      <c r="H59" s="24" t="n">
        <v>926.54</v>
      </c>
      <c r="I59" s="24" t="n">
        <v>1853.08</v>
      </c>
      <c r="J59" s="22" t="inlineStr">
        <is>
          <t>Pix</t>
        </is>
      </c>
    </row>
    <row r="60">
      <c r="A60" s="22" t="inlineStr">
        <is>
          <t>V0059</t>
        </is>
      </c>
      <c r="B60" s="23" t="n">
        <v>46220</v>
      </c>
      <c r="C60" s="22" t="inlineStr">
        <is>
          <t>Centro-Oeste</t>
        </is>
      </c>
      <c r="D60" s="22" t="inlineStr">
        <is>
          <t>Ana Souza</t>
        </is>
      </c>
      <c r="E60" s="22" t="inlineStr">
        <is>
          <t>Telefonia</t>
        </is>
      </c>
      <c r="F60" s="22" t="inlineStr">
        <is>
          <t>Smartwatch</t>
        </is>
      </c>
      <c r="G60" s="22" t="n">
        <v>1</v>
      </c>
      <c r="H60" s="24" t="n">
        <v>602.62</v>
      </c>
      <c r="I60" s="24" t="n">
        <v>602.62</v>
      </c>
      <c r="J60" s="22" t="inlineStr">
        <is>
          <t>Cartão de crédito</t>
        </is>
      </c>
    </row>
    <row r="61">
      <c r="A61" s="22" t="inlineStr">
        <is>
          <t>V0060</t>
        </is>
      </c>
      <c r="B61" s="23" t="n">
        <v>46209</v>
      </c>
      <c r="C61" s="22" t="inlineStr">
        <is>
          <t>Nordeste</t>
        </is>
      </c>
      <c r="D61" s="22" t="inlineStr">
        <is>
          <t>Fernanda Costa</t>
        </is>
      </c>
      <c r="E61" s="22" t="inlineStr">
        <is>
          <t>Telefonia</t>
        </is>
      </c>
      <c r="F61" s="22" t="inlineStr">
        <is>
          <t>Tablet</t>
        </is>
      </c>
      <c r="G61" s="22" t="n">
        <v>1</v>
      </c>
      <c r="H61" s="24" t="n">
        <v>1385.48</v>
      </c>
      <c r="I61" s="24" t="n">
        <v>1385.48</v>
      </c>
      <c r="J61" s="22" t="inlineStr">
        <is>
          <t>Cartão de débito</t>
        </is>
      </c>
    </row>
    <row r="62">
      <c r="A62" s="22" t="inlineStr">
        <is>
          <t>V0061</t>
        </is>
      </c>
      <c r="B62" s="23" t="n">
        <v>46086</v>
      </c>
      <c r="C62" s="22" t="inlineStr">
        <is>
          <t>Nordeste</t>
        </is>
      </c>
      <c r="D62" s="22" t="inlineStr">
        <is>
          <t>Diego Alves</t>
        </is>
      </c>
      <c r="E62" s="22" t="inlineStr">
        <is>
          <t>Acessórios</t>
        </is>
      </c>
      <c r="F62" s="22" t="inlineStr">
        <is>
          <t>Headset</t>
        </is>
      </c>
      <c r="G62" s="22" t="n">
        <v>2</v>
      </c>
      <c r="H62" s="24" t="n">
        <v>246.41</v>
      </c>
      <c r="I62" s="24" t="n">
        <v>492.82</v>
      </c>
      <c r="J62" s="22" t="inlineStr">
        <is>
          <t>Cartão de débito</t>
        </is>
      </c>
    </row>
    <row r="63">
      <c r="A63" s="22" t="inlineStr">
        <is>
          <t>V0062</t>
        </is>
      </c>
      <c r="B63" s="23" t="n">
        <v>46306</v>
      </c>
      <c r="C63" s="22" t="inlineStr">
        <is>
          <t>Centro-Oeste</t>
        </is>
      </c>
      <c r="D63" s="22" t="inlineStr">
        <is>
          <t>Bruno Lima</t>
        </is>
      </c>
      <c r="E63" s="22" t="inlineStr">
        <is>
          <t>Acessórios</t>
        </is>
      </c>
      <c r="F63" s="22" t="inlineStr">
        <is>
          <t>Teclado</t>
        </is>
      </c>
      <c r="G63" s="22" t="n">
        <v>1</v>
      </c>
      <c r="H63" s="24" t="n">
        <v>184.75</v>
      </c>
      <c r="I63" s="24" t="n">
        <v>184.75</v>
      </c>
      <c r="J63" s="22" t="inlineStr">
        <is>
          <t>Cartão de débito</t>
        </is>
      </c>
    </row>
    <row r="64">
      <c r="A64" s="22" t="inlineStr">
        <is>
          <t>V0063</t>
        </is>
      </c>
      <c r="B64" s="23" t="n">
        <v>46230</v>
      </c>
      <c r="C64" s="22" t="inlineStr">
        <is>
          <t>Sul</t>
        </is>
      </c>
      <c r="D64" s="22" t="inlineStr">
        <is>
          <t>Diego Alves</t>
        </is>
      </c>
      <c r="E64" s="22" t="inlineStr">
        <is>
          <t>Acessórios</t>
        </is>
      </c>
      <c r="F64" s="22" t="inlineStr">
        <is>
          <t>Webcam</t>
        </is>
      </c>
      <c r="G64" s="22" t="n">
        <v>3</v>
      </c>
      <c r="H64" s="24" t="n">
        <v>213.1</v>
      </c>
      <c r="I64" s="24" t="n">
        <v>639.3</v>
      </c>
      <c r="J64" s="22" t="inlineStr">
        <is>
          <t>Cartão de débito</t>
        </is>
      </c>
    </row>
    <row r="65">
      <c r="A65" s="22" t="inlineStr">
        <is>
          <t>V0064</t>
        </is>
      </c>
      <c r="B65" s="23" t="n">
        <v>46261</v>
      </c>
      <c r="C65" s="22" t="inlineStr">
        <is>
          <t>Centro-Oeste</t>
        </is>
      </c>
      <c r="D65" s="22" t="inlineStr">
        <is>
          <t>Bruno Lima</t>
        </is>
      </c>
      <c r="E65" s="22" t="inlineStr">
        <is>
          <t>Informática</t>
        </is>
      </c>
      <c r="F65" s="22" t="inlineStr">
        <is>
          <t>Impressora</t>
        </is>
      </c>
      <c r="G65" s="22" t="n">
        <v>2</v>
      </c>
      <c r="H65" s="24" t="n">
        <v>744.27</v>
      </c>
      <c r="I65" s="24" t="n">
        <v>1488.54</v>
      </c>
      <c r="J65" s="22" t="inlineStr">
        <is>
          <t>Pix</t>
        </is>
      </c>
    </row>
    <row r="66">
      <c r="A66" s="22" t="inlineStr">
        <is>
          <t>V0065</t>
        </is>
      </c>
      <c r="B66" s="23" t="n">
        <v>46168</v>
      </c>
      <c r="C66" s="22" t="inlineStr">
        <is>
          <t>Sudeste</t>
        </is>
      </c>
      <c r="D66" s="22" t="inlineStr">
        <is>
          <t>Bruno Lima</t>
        </is>
      </c>
      <c r="E66" s="22" t="inlineStr">
        <is>
          <t>Acessórios</t>
        </is>
      </c>
      <c r="F66" s="22" t="inlineStr">
        <is>
          <t>Webcam</t>
        </is>
      </c>
      <c r="G66" s="22" t="n">
        <v>2</v>
      </c>
      <c r="H66" s="24" t="n">
        <v>224.2</v>
      </c>
      <c r="I66" s="24" t="n">
        <v>448.4</v>
      </c>
      <c r="J66" s="22" t="inlineStr">
        <is>
          <t>Cartão de débito</t>
        </is>
      </c>
    </row>
    <row r="67">
      <c r="A67" s="22" t="inlineStr">
        <is>
          <t>V0066</t>
        </is>
      </c>
      <c r="B67" s="23" t="n">
        <v>46138</v>
      </c>
      <c r="C67" s="22" t="inlineStr">
        <is>
          <t>Centro-Oeste</t>
        </is>
      </c>
      <c r="D67" s="22" t="inlineStr">
        <is>
          <t>Fernanda Costa</t>
        </is>
      </c>
      <c r="E67" s="22" t="inlineStr">
        <is>
          <t>Acessórios</t>
        </is>
      </c>
      <c r="F67" s="22" t="inlineStr">
        <is>
          <t>Mouse</t>
        </is>
      </c>
      <c r="G67" s="22" t="n">
        <v>1</v>
      </c>
      <c r="H67" s="24" t="n">
        <v>88.09999999999999</v>
      </c>
      <c r="I67" s="24" t="n">
        <v>88.09999999999999</v>
      </c>
      <c r="J67" s="22" t="inlineStr">
        <is>
          <t>Pix</t>
        </is>
      </c>
    </row>
    <row r="68">
      <c r="A68" s="22" t="inlineStr">
        <is>
          <t>V0067</t>
        </is>
      </c>
      <c r="B68" s="23" t="n">
        <v>46256</v>
      </c>
      <c r="C68" s="22" t="inlineStr">
        <is>
          <t>Centro-Oeste</t>
        </is>
      </c>
      <c r="D68" s="22" t="inlineStr">
        <is>
          <t>Diego Alves</t>
        </is>
      </c>
      <c r="E68" s="22" t="inlineStr">
        <is>
          <t>Telefonia</t>
        </is>
      </c>
      <c r="F68" s="22" t="inlineStr">
        <is>
          <t>Tablet</t>
        </is>
      </c>
      <c r="G68" s="22" t="n">
        <v>4</v>
      </c>
      <c r="H68" s="24" t="n">
        <v>1366.34</v>
      </c>
      <c r="I68" s="24" t="n">
        <v>5465.36</v>
      </c>
      <c r="J68" s="22" t="inlineStr">
        <is>
          <t>Boleto</t>
        </is>
      </c>
    </row>
    <row r="69">
      <c r="A69" s="22" t="inlineStr">
        <is>
          <t>V0068</t>
        </is>
      </c>
      <c r="B69" s="23" t="n">
        <v>46147</v>
      </c>
      <c r="C69" s="22" t="inlineStr">
        <is>
          <t>Sudeste</t>
        </is>
      </c>
      <c r="D69" s="22" t="inlineStr">
        <is>
          <t>Diego Alves</t>
        </is>
      </c>
      <c r="E69" s="22" t="inlineStr">
        <is>
          <t>Acessórios</t>
        </is>
      </c>
      <c r="F69" s="22" t="inlineStr">
        <is>
          <t>Teclado</t>
        </is>
      </c>
      <c r="G69" s="22" t="n">
        <v>2</v>
      </c>
      <c r="H69" s="24" t="n">
        <v>165.76</v>
      </c>
      <c r="I69" s="24" t="n">
        <v>331.52</v>
      </c>
      <c r="J69" s="22" t="inlineStr">
        <is>
          <t>Cartão de crédito</t>
        </is>
      </c>
    </row>
    <row r="70">
      <c r="A70" s="22" t="inlineStr">
        <is>
          <t>V0069</t>
        </is>
      </c>
      <c r="B70" s="23" t="n">
        <v>46113</v>
      </c>
      <c r="C70" s="22" t="inlineStr">
        <is>
          <t>Sudeste</t>
        </is>
      </c>
      <c r="D70" s="22" t="inlineStr">
        <is>
          <t>Diego Alves</t>
        </is>
      </c>
      <c r="E70" s="22" t="inlineStr">
        <is>
          <t>Acessórios</t>
        </is>
      </c>
      <c r="F70" s="22" t="inlineStr">
        <is>
          <t>Webcam</t>
        </is>
      </c>
      <c r="G70" s="22" t="n">
        <v>2</v>
      </c>
      <c r="H70" s="24" t="n">
        <v>222.02</v>
      </c>
      <c r="I70" s="24" t="n">
        <v>444.04</v>
      </c>
      <c r="J70" s="22" t="inlineStr">
        <is>
          <t>Cartão de crédito</t>
        </is>
      </c>
    </row>
    <row r="71">
      <c r="A71" s="22" t="inlineStr">
        <is>
          <t>V0070</t>
        </is>
      </c>
      <c r="B71" s="23" t="n">
        <v>46260</v>
      </c>
      <c r="C71" s="22" t="inlineStr">
        <is>
          <t>Centro-Oeste</t>
        </is>
      </c>
      <c r="D71" s="22" t="inlineStr">
        <is>
          <t>Fernanda Costa</t>
        </is>
      </c>
      <c r="E71" s="22" t="inlineStr">
        <is>
          <t>Acessórios</t>
        </is>
      </c>
      <c r="F71" s="22" t="inlineStr">
        <is>
          <t>Webcam</t>
        </is>
      </c>
      <c r="G71" s="22" t="n">
        <v>5</v>
      </c>
      <c r="H71" s="24" t="n">
        <v>223.36</v>
      </c>
      <c r="I71" s="24" t="n">
        <v>1116.8</v>
      </c>
      <c r="J71" s="22" t="inlineStr">
        <is>
          <t>Boleto</t>
        </is>
      </c>
    </row>
    <row r="72">
      <c r="A72" s="22" t="inlineStr">
        <is>
          <t>V0071</t>
        </is>
      </c>
      <c r="B72" s="23" t="n">
        <v>46303</v>
      </c>
      <c r="C72" s="22" t="inlineStr">
        <is>
          <t>Centro-Oeste</t>
        </is>
      </c>
      <c r="D72" s="22" t="inlineStr">
        <is>
          <t>Diego Alves</t>
        </is>
      </c>
      <c r="E72" s="22" t="inlineStr">
        <is>
          <t>Informática</t>
        </is>
      </c>
      <c r="F72" s="22" t="inlineStr">
        <is>
          <t>Impressora</t>
        </is>
      </c>
      <c r="G72" s="22" t="n">
        <v>4</v>
      </c>
      <c r="H72" s="24" t="n">
        <v>810.41</v>
      </c>
      <c r="I72" s="24" t="n">
        <v>3241.64</v>
      </c>
      <c r="J72" s="22" t="inlineStr">
        <is>
          <t>Cartão de débito</t>
        </is>
      </c>
    </row>
    <row r="73">
      <c r="A73" s="22" t="inlineStr">
        <is>
          <t>V0072</t>
        </is>
      </c>
      <c r="B73" s="23" t="n">
        <v>46149</v>
      </c>
      <c r="C73" s="22" t="inlineStr">
        <is>
          <t>Sul</t>
        </is>
      </c>
      <c r="D73" s="22" t="inlineStr">
        <is>
          <t>Carla Mendes</t>
        </is>
      </c>
      <c r="E73" s="22" t="inlineStr">
        <is>
          <t>Acessórios</t>
        </is>
      </c>
      <c r="F73" s="22" t="inlineStr">
        <is>
          <t>Headset</t>
        </is>
      </c>
      <c r="G73" s="22" t="n">
        <v>3</v>
      </c>
      <c r="H73" s="24" t="n">
        <v>240.82</v>
      </c>
      <c r="I73" s="24" t="n">
        <v>722.46</v>
      </c>
      <c r="J73" s="22" t="inlineStr">
        <is>
          <t>Boleto</t>
        </is>
      </c>
    </row>
    <row r="74">
      <c r="A74" s="22" t="inlineStr">
        <is>
          <t>V0073</t>
        </is>
      </c>
      <c r="B74" s="23" t="n">
        <v>46062</v>
      </c>
      <c r="C74" s="22" t="inlineStr">
        <is>
          <t>Norte</t>
        </is>
      </c>
      <c r="D74" s="22" t="inlineStr">
        <is>
          <t>Ana Souza</t>
        </is>
      </c>
      <c r="E74" s="22" t="inlineStr">
        <is>
          <t>Acessórios</t>
        </is>
      </c>
      <c r="F74" s="22" t="inlineStr">
        <is>
          <t>Headset</t>
        </is>
      </c>
      <c r="G74" s="22" t="n">
        <v>1</v>
      </c>
      <c r="H74" s="24" t="n">
        <v>233.7</v>
      </c>
      <c r="I74" s="24" t="n">
        <v>233.7</v>
      </c>
      <c r="J74" s="22" t="inlineStr">
        <is>
          <t>Cartão de crédito</t>
        </is>
      </c>
    </row>
    <row r="75">
      <c r="A75" s="22" t="inlineStr">
        <is>
          <t>V0074</t>
        </is>
      </c>
      <c r="B75" s="23" t="n">
        <v>46100</v>
      </c>
      <c r="C75" s="22" t="inlineStr">
        <is>
          <t>Sul</t>
        </is>
      </c>
      <c r="D75" s="22" t="inlineStr">
        <is>
          <t>Ana Souza</t>
        </is>
      </c>
      <c r="E75" s="22" t="inlineStr">
        <is>
          <t>Acessórios</t>
        </is>
      </c>
      <c r="F75" s="22" t="inlineStr">
        <is>
          <t>Mouse</t>
        </is>
      </c>
      <c r="G75" s="22" t="n">
        <v>1</v>
      </c>
      <c r="H75" s="24" t="n">
        <v>89.72</v>
      </c>
      <c r="I75" s="24" t="n">
        <v>89.72</v>
      </c>
      <c r="J75" s="22" t="inlineStr">
        <is>
          <t>Boleto</t>
        </is>
      </c>
    </row>
    <row r="76">
      <c r="A76" s="22" t="inlineStr">
        <is>
          <t>V0075</t>
        </is>
      </c>
      <c r="B76" s="23" t="n">
        <v>46231</v>
      </c>
      <c r="C76" s="22" t="inlineStr">
        <is>
          <t>Sul</t>
        </is>
      </c>
      <c r="D76" s="22" t="inlineStr">
        <is>
          <t>Diego Alves</t>
        </is>
      </c>
      <c r="E76" s="22" t="inlineStr">
        <is>
          <t>Telefonia</t>
        </is>
      </c>
      <c r="F76" s="22" t="inlineStr">
        <is>
          <t>Smartphone</t>
        </is>
      </c>
      <c r="G76" s="22" t="n">
        <v>2</v>
      </c>
      <c r="H76" s="24" t="n">
        <v>2071.7</v>
      </c>
      <c r="I76" s="24" t="n">
        <v>4143.4</v>
      </c>
      <c r="J76" s="22" t="inlineStr">
        <is>
          <t>Boleto</t>
        </is>
      </c>
    </row>
    <row r="77">
      <c r="A77" s="22" t="inlineStr">
        <is>
          <t>V0076</t>
        </is>
      </c>
      <c r="B77" s="23" t="n">
        <v>46033</v>
      </c>
      <c r="C77" s="22" t="inlineStr">
        <is>
          <t>Nordeste</t>
        </is>
      </c>
      <c r="D77" s="22" t="inlineStr">
        <is>
          <t>Carla Mendes</t>
        </is>
      </c>
      <c r="E77" s="22" t="inlineStr">
        <is>
          <t>Telefonia</t>
        </is>
      </c>
      <c r="F77" s="22" t="inlineStr">
        <is>
          <t>Smartwatch</t>
        </is>
      </c>
      <c r="G77" s="22" t="n">
        <v>1</v>
      </c>
      <c r="H77" s="24" t="n">
        <v>598.61</v>
      </c>
      <c r="I77" s="24" t="n">
        <v>598.61</v>
      </c>
      <c r="J77" s="22" t="inlineStr">
        <is>
          <t>Boleto</t>
        </is>
      </c>
    </row>
    <row r="78">
      <c r="A78" s="22" t="inlineStr">
        <is>
          <t>V0077</t>
        </is>
      </c>
      <c r="B78" s="23" t="n">
        <v>46237</v>
      </c>
      <c r="C78" s="22" t="inlineStr">
        <is>
          <t>Norte</t>
        </is>
      </c>
      <c r="D78" s="22" t="inlineStr">
        <is>
          <t>Bruno Lima</t>
        </is>
      </c>
      <c r="E78" s="22" t="inlineStr">
        <is>
          <t>Acessórios</t>
        </is>
      </c>
      <c r="F78" s="22" t="inlineStr">
        <is>
          <t>Webcam</t>
        </is>
      </c>
      <c r="G78" s="22" t="n">
        <v>3</v>
      </c>
      <c r="H78" s="24" t="n">
        <v>221.62</v>
      </c>
      <c r="I78" s="24" t="n">
        <v>664.86</v>
      </c>
      <c r="J78" s="22" t="inlineStr">
        <is>
          <t>Boleto</t>
        </is>
      </c>
    </row>
    <row r="79">
      <c r="A79" s="22" t="inlineStr">
        <is>
          <t>V0078</t>
        </is>
      </c>
      <c r="B79" s="23" t="n">
        <v>46135</v>
      </c>
      <c r="C79" s="22" t="inlineStr">
        <is>
          <t>Nordeste</t>
        </is>
      </c>
      <c r="D79" s="22" t="inlineStr">
        <is>
          <t>Diego Alves</t>
        </is>
      </c>
      <c r="E79" s="22" t="inlineStr">
        <is>
          <t>Acessórios</t>
        </is>
      </c>
      <c r="F79" s="22" t="inlineStr">
        <is>
          <t>Headset</t>
        </is>
      </c>
      <c r="G79" s="22" t="n">
        <v>2</v>
      </c>
      <c r="H79" s="24" t="n">
        <v>221.91</v>
      </c>
      <c r="I79" s="24" t="n">
        <v>443.82</v>
      </c>
      <c r="J79" s="22" t="inlineStr">
        <is>
          <t>Cartão de crédito</t>
        </is>
      </c>
    </row>
    <row r="80">
      <c r="A80" s="22" t="inlineStr">
        <is>
          <t>V0079</t>
        </is>
      </c>
      <c r="B80" s="23" t="n">
        <v>46262</v>
      </c>
      <c r="C80" s="22" t="inlineStr">
        <is>
          <t>Centro-Oeste</t>
        </is>
      </c>
      <c r="D80" s="22" t="inlineStr">
        <is>
          <t>Fernanda Costa</t>
        </is>
      </c>
      <c r="E80" s="22" t="inlineStr">
        <is>
          <t>Acessórios</t>
        </is>
      </c>
      <c r="F80" s="22" t="inlineStr">
        <is>
          <t>Teclado</t>
        </is>
      </c>
      <c r="G80" s="22" t="n">
        <v>5</v>
      </c>
      <c r="H80" s="24" t="n">
        <v>180.98</v>
      </c>
      <c r="I80" s="24" t="n">
        <v>904.9</v>
      </c>
      <c r="J80" s="22" t="inlineStr">
        <is>
          <t>Pix</t>
        </is>
      </c>
    </row>
    <row r="81">
      <c r="A81" s="22" t="inlineStr">
        <is>
          <t>V0080</t>
        </is>
      </c>
      <c r="B81" s="23" t="n">
        <v>46065</v>
      </c>
      <c r="C81" s="22" t="inlineStr">
        <is>
          <t>Sudeste</t>
        </is>
      </c>
      <c r="D81" s="22" t="inlineStr">
        <is>
          <t>Carla Mendes</t>
        </is>
      </c>
      <c r="E81" s="22" t="inlineStr">
        <is>
          <t>Telefonia</t>
        </is>
      </c>
      <c r="F81" s="22" t="inlineStr">
        <is>
          <t>Tablet</t>
        </is>
      </c>
      <c r="G81" s="22" t="n">
        <v>1</v>
      </c>
      <c r="H81" s="24" t="n">
        <v>1341.73</v>
      </c>
      <c r="I81" s="24" t="n">
        <v>1341.73</v>
      </c>
      <c r="J81" s="22" t="inlineStr">
        <is>
          <t>Boleto</t>
        </is>
      </c>
    </row>
    <row r="82">
      <c r="A82" s="22" t="inlineStr">
        <is>
          <t>V0081</t>
        </is>
      </c>
      <c r="B82" s="23" t="n">
        <v>46190</v>
      </c>
      <c r="C82" s="22" t="inlineStr">
        <is>
          <t>Centro-Oeste</t>
        </is>
      </c>
      <c r="D82" s="22" t="inlineStr">
        <is>
          <t>Carla Mendes</t>
        </is>
      </c>
      <c r="E82" s="22" t="inlineStr">
        <is>
          <t>Acessórios</t>
        </is>
      </c>
      <c r="F82" s="22" t="inlineStr">
        <is>
          <t>Mouse</t>
        </is>
      </c>
      <c r="G82" s="22" t="n">
        <v>2</v>
      </c>
      <c r="H82" s="24" t="n">
        <v>92.53</v>
      </c>
      <c r="I82" s="24" t="n">
        <v>185.06</v>
      </c>
      <c r="J82" s="22" t="inlineStr">
        <is>
          <t>Boleto</t>
        </is>
      </c>
    </row>
    <row r="83">
      <c r="A83" s="22" t="inlineStr">
        <is>
          <t>V0082</t>
        </is>
      </c>
      <c r="B83" s="23" t="n">
        <v>46152</v>
      </c>
      <c r="C83" s="22" t="inlineStr">
        <is>
          <t>Sudeste</t>
        </is>
      </c>
      <c r="D83" s="22" t="inlineStr">
        <is>
          <t>Carla Mendes</t>
        </is>
      </c>
      <c r="E83" s="22" t="inlineStr">
        <is>
          <t>Informática</t>
        </is>
      </c>
      <c r="F83" s="22" t="inlineStr">
        <is>
          <t>Monitor</t>
        </is>
      </c>
      <c r="G83" s="22" t="n">
        <v>2</v>
      </c>
      <c r="H83" s="24" t="n">
        <v>987.85</v>
      </c>
      <c r="I83" s="24" t="n">
        <v>1975.7</v>
      </c>
      <c r="J83" s="22" t="inlineStr">
        <is>
          <t>Cartão de crédito</t>
        </is>
      </c>
    </row>
    <row r="84">
      <c r="A84" s="22" t="inlineStr">
        <is>
          <t>V0083</t>
        </is>
      </c>
      <c r="B84" s="23" t="n">
        <v>46058</v>
      </c>
      <c r="C84" s="22" t="inlineStr">
        <is>
          <t>Sul</t>
        </is>
      </c>
      <c r="D84" s="22" t="inlineStr">
        <is>
          <t>Ana Souza</t>
        </is>
      </c>
      <c r="E84" s="22" t="inlineStr">
        <is>
          <t>Informática</t>
        </is>
      </c>
      <c r="F84" s="22" t="inlineStr">
        <is>
          <t>Notebook</t>
        </is>
      </c>
      <c r="G84" s="22" t="n">
        <v>3</v>
      </c>
      <c r="H84" s="24" t="n">
        <v>3430.2</v>
      </c>
      <c r="I84" s="24" t="n">
        <v>10290.6</v>
      </c>
      <c r="J84" s="22" t="inlineStr">
        <is>
          <t>Cartão de crédito</t>
        </is>
      </c>
    </row>
    <row r="85">
      <c r="A85" s="22" t="inlineStr">
        <is>
          <t>V0084</t>
        </is>
      </c>
      <c r="B85" s="23" t="n">
        <v>46145</v>
      </c>
      <c r="C85" s="22" t="inlineStr">
        <is>
          <t>Sul</t>
        </is>
      </c>
      <c r="D85" s="22" t="inlineStr">
        <is>
          <t>Diego Alves</t>
        </is>
      </c>
      <c r="E85" s="22" t="inlineStr">
        <is>
          <t>Acessórios</t>
        </is>
      </c>
      <c r="F85" s="22" t="inlineStr">
        <is>
          <t>Teclado</t>
        </is>
      </c>
      <c r="G85" s="22" t="n">
        <v>2</v>
      </c>
      <c r="H85" s="24" t="n">
        <v>168.89</v>
      </c>
      <c r="I85" s="24" t="n">
        <v>337.78</v>
      </c>
      <c r="J85" s="22" t="inlineStr">
        <is>
          <t>Cartão de débito</t>
        </is>
      </c>
    </row>
    <row r="86">
      <c r="A86" s="22" t="inlineStr">
        <is>
          <t>V0085</t>
        </is>
      </c>
      <c r="B86" s="23" t="n">
        <v>46211</v>
      </c>
      <c r="C86" s="22" t="inlineStr">
        <is>
          <t>Sudeste</t>
        </is>
      </c>
      <c r="D86" s="22" t="inlineStr">
        <is>
          <t>Bruno Lima</t>
        </is>
      </c>
      <c r="E86" s="22" t="inlineStr">
        <is>
          <t>Acessórios</t>
        </is>
      </c>
      <c r="F86" s="22" t="inlineStr">
        <is>
          <t>Teclado</t>
        </is>
      </c>
      <c r="G86" s="22" t="n">
        <v>2</v>
      </c>
      <c r="H86" s="24" t="n">
        <v>193.36</v>
      </c>
      <c r="I86" s="24" t="n">
        <v>386.72</v>
      </c>
      <c r="J86" s="22" t="inlineStr">
        <is>
          <t>Cartão de débito</t>
        </is>
      </c>
    </row>
    <row r="87">
      <c r="A87" s="22" t="inlineStr">
        <is>
          <t>V0086</t>
        </is>
      </c>
      <c r="B87" s="23" t="n">
        <v>46078</v>
      </c>
      <c r="C87" s="22" t="inlineStr">
        <is>
          <t>Centro-Oeste</t>
        </is>
      </c>
      <c r="D87" s="22" t="inlineStr">
        <is>
          <t>Diego Alves</t>
        </is>
      </c>
      <c r="E87" s="22" t="inlineStr">
        <is>
          <t>Telefonia</t>
        </is>
      </c>
      <c r="F87" s="22" t="inlineStr">
        <is>
          <t>Smartwatch</t>
        </is>
      </c>
      <c r="G87" s="22" t="n">
        <v>1</v>
      </c>
      <c r="H87" s="24" t="n">
        <v>630.4400000000001</v>
      </c>
      <c r="I87" s="24" t="n">
        <v>630.4400000000001</v>
      </c>
      <c r="J87" s="22" t="inlineStr">
        <is>
          <t>Cartão de crédito</t>
        </is>
      </c>
    </row>
    <row r="88">
      <c r="A88" s="22" t="inlineStr">
        <is>
          <t>V0087</t>
        </is>
      </c>
      <c r="B88" s="23" t="n">
        <v>46061</v>
      </c>
      <c r="C88" s="22" t="inlineStr">
        <is>
          <t>Sudeste</t>
        </is>
      </c>
      <c r="D88" s="22" t="inlineStr">
        <is>
          <t>Carla Mendes</t>
        </is>
      </c>
      <c r="E88" s="22" t="inlineStr">
        <is>
          <t>Telefonia</t>
        </is>
      </c>
      <c r="F88" s="22" t="inlineStr">
        <is>
          <t>Smartwatch</t>
        </is>
      </c>
      <c r="G88" s="22" t="n">
        <v>2</v>
      </c>
      <c r="H88" s="24" t="n">
        <v>663.23</v>
      </c>
      <c r="I88" s="24" t="n">
        <v>1326.46</v>
      </c>
      <c r="J88" s="22" t="inlineStr">
        <is>
          <t>Pix</t>
        </is>
      </c>
    </row>
    <row r="89">
      <c r="A89" s="22" t="inlineStr">
        <is>
          <t>V0088</t>
        </is>
      </c>
      <c r="B89" s="23" t="n">
        <v>46312</v>
      </c>
      <c r="C89" s="22" t="inlineStr">
        <is>
          <t>Nordeste</t>
        </is>
      </c>
      <c r="D89" s="22" t="inlineStr">
        <is>
          <t>Ana Souza</t>
        </is>
      </c>
      <c r="E89" s="22" t="inlineStr">
        <is>
          <t>Informática</t>
        </is>
      </c>
      <c r="F89" s="22" t="inlineStr">
        <is>
          <t>Notebook</t>
        </is>
      </c>
      <c r="G89" s="22" t="n">
        <v>1</v>
      </c>
      <c r="H89" s="24" t="n">
        <v>3163.33</v>
      </c>
      <c r="I89" s="24" t="n">
        <v>3163.33</v>
      </c>
      <c r="J89" s="22" t="inlineStr">
        <is>
          <t>Cartão de débito</t>
        </is>
      </c>
    </row>
    <row r="90">
      <c r="A90" s="22" t="inlineStr">
        <is>
          <t>V0089</t>
        </is>
      </c>
      <c r="B90" s="23" t="n">
        <v>46029</v>
      </c>
      <c r="C90" s="22" t="inlineStr">
        <is>
          <t>Nordeste</t>
        </is>
      </c>
      <c r="D90" s="22" t="inlineStr">
        <is>
          <t>Diego Alves</t>
        </is>
      </c>
      <c r="E90" s="22" t="inlineStr">
        <is>
          <t>Telefonia</t>
        </is>
      </c>
      <c r="F90" s="22" t="inlineStr">
        <is>
          <t>Tablet</t>
        </is>
      </c>
      <c r="G90" s="22" t="n">
        <v>3</v>
      </c>
      <c r="H90" s="24" t="n">
        <v>1264.8</v>
      </c>
      <c r="I90" s="24" t="n">
        <v>3794.4</v>
      </c>
      <c r="J90" s="22" t="inlineStr">
        <is>
          <t>Cartão de crédito</t>
        </is>
      </c>
    </row>
    <row r="91">
      <c r="A91" s="22" t="inlineStr">
        <is>
          <t>V0090</t>
        </is>
      </c>
      <c r="B91" s="23" t="n">
        <v>46245</v>
      </c>
      <c r="C91" s="22" t="inlineStr">
        <is>
          <t>Nordeste</t>
        </is>
      </c>
      <c r="D91" s="22" t="inlineStr">
        <is>
          <t>Fernanda Costa</t>
        </is>
      </c>
      <c r="E91" s="22" t="inlineStr">
        <is>
          <t>Acessórios</t>
        </is>
      </c>
      <c r="F91" s="22" t="inlineStr">
        <is>
          <t>Teclado</t>
        </is>
      </c>
      <c r="G91" s="22" t="n">
        <v>3</v>
      </c>
      <c r="H91" s="24" t="n">
        <v>193.41</v>
      </c>
      <c r="I91" s="24" t="n">
        <v>580.23</v>
      </c>
      <c r="J91" s="22" t="inlineStr">
        <is>
          <t>Boleto</t>
        </is>
      </c>
    </row>
    <row r="92">
      <c r="A92" s="22" t="inlineStr">
        <is>
          <t>V0091</t>
        </is>
      </c>
      <c r="B92" s="23" t="n">
        <v>46261</v>
      </c>
      <c r="C92" s="22" t="inlineStr">
        <is>
          <t>Nordeste</t>
        </is>
      </c>
      <c r="D92" s="22" t="inlineStr">
        <is>
          <t>Bruno Lima</t>
        </is>
      </c>
      <c r="E92" s="22" t="inlineStr">
        <is>
          <t>Telefonia</t>
        </is>
      </c>
      <c r="F92" s="22" t="inlineStr">
        <is>
          <t>Tablet</t>
        </is>
      </c>
      <c r="G92" s="22" t="n">
        <v>3</v>
      </c>
      <c r="H92" s="24" t="n">
        <v>1369.97</v>
      </c>
      <c r="I92" s="24" t="n">
        <v>4109.91</v>
      </c>
      <c r="J92" s="22" t="inlineStr">
        <is>
          <t>Pix</t>
        </is>
      </c>
    </row>
    <row r="93">
      <c r="A93" s="22" t="inlineStr">
        <is>
          <t>V0092</t>
        </is>
      </c>
      <c r="B93" s="23" t="n">
        <v>46165</v>
      </c>
      <c r="C93" s="22" t="inlineStr">
        <is>
          <t>Norte</t>
        </is>
      </c>
      <c r="D93" s="22" t="inlineStr">
        <is>
          <t>Diego Alves</t>
        </is>
      </c>
      <c r="E93" s="22" t="inlineStr">
        <is>
          <t>Informática</t>
        </is>
      </c>
      <c r="F93" s="22" t="inlineStr">
        <is>
          <t>Impressora</t>
        </is>
      </c>
      <c r="G93" s="22" t="n">
        <v>1</v>
      </c>
      <c r="H93" s="24" t="n">
        <v>775.6</v>
      </c>
      <c r="I93" s="24" t="n">
        <v>775.6</v>
      </c>
      <c r="J93" s="22" t="inlineStr">
        <is>
          <t>Cartão de débito</t>
        </is>
      </c>
    </row>
    <row r="94">
      <c r="A94" s="22" t="inlineStr">
        <is>
          <t>V0093</t>
        </is>
      </c>
      <c r="B94" s="23" t="n">
        <v>46037</v>
      </c>
      <c r="C94" s="22" t="inlineStr">
        <is>
          <t>Sul</t>
        </is>
      </c>
      <c r="D94" s="22" t="inlineStr">
        <is>
          <t>Carla Mendes</t>
        </is>
      </c>
      <c r="E94" s="22" t="inlineStr">
        <is>
          <t>Informática</t>
        </is>
      </c>
      <c r="F94" s="22" t="inlineStr">
        <is>
          <t>Impressora</t>
        </is>
      </c>
      <c r="G94" s="22" t="n">
        <v>3</v>
      </c>
      <c r="H94" s="24" t="n">
        <v>740.29</v>
      </c>
      <c r="I94" s="24" t="n">
        <v>2220.87</v>
      </c>
      <c r="J94" s="22" t="inlineStr">
        <is>
          <t>Cartão de débito</t>
        </is>
      </c>
    </row>
    <row r="95">
      <c r="A95" s="22" t="inlineStr">
        <is>
          <t>V0094</t>
        </is>
      </c>
      <c r="B95" s="23" t="n">
        <v>46197</v>
      </c>
      <c r="C95" s="22" t="inlineStr">
        <is>
          <t>Nordeste</t>
        </is>
      </c>
      <c r="D95" s="22" t="inlineStr">
        <is>
          <t>Fernanda Costa</t>
        </is>
      </c>
      <c r="E95" s="22" t="inlineStr">
        <is>
          <t>Acessórios</t>
        </is>
      </c>
      <c r="F95" s="22" t="inlineStr">
        <is>
          <t>Headset</t>
        </is>
      </c>
      <c r="G95" s="22" t="n">
        <v>4</v>
      </c>
      <c r="H95" s="24" t="n">
        <v>247.73</v>
      </c>
      <c r="I95" s="24" t="n">
        <v>990.92</v>
      </c>
      <c r="J95" s="22" t="inlineStr">
        <is>
          <t>Pix</t>
        </is>
      </c>
    </row>
    <row r="96">
      <c r="A96" s="22" t="inlineStr">
        <is>
          <t>V0095</t>
        </is>
      </c>
      <c r="B96" s="23" t="n">
        <v>46287</v>
      </c>
      <c r="C96" s="22" t="inlineStr">
        <is>
          <t>Centro-Oeste</t>
        </is>
      </c>
      <c r="D96" s="22" t="inlineStr">
        <is>
          <t>Fernanda Costa</t>
        </is>
      </c>
      <c r="E96" s="22" t="inlineStr">
        <is>
          <t>Acessórios</t>
        </is>
      </c>
      <c r="F96" s="22" t="inlineStr">
        <is>
          <t>Mouse</t>
        </is>
      </c>
      <c r="G96" s="22" t="n">
        <v>1</v>
      </c>
      <c r="H96" s="24" t="n">
        <v>98.34999999999999</v>
      </c>
      <c r="I96" s="24" t="n">
        <v>98.34999999999999</v>
      </c>
      <c r="J96" s="22" t="inlineStr">
        <is>
          <t>Cartão de crédito</t>
        </is>
      </c>
    </row>
    <row r="97">
      <c r="A97" s="22" t="inlineStr">
        <is>
          <t>V0096</t>
        </is>
      </c>
      <c r="B97" s="23" t="n">
        <v>46266</v>
      </c>
      <c r="C97" s="22" t="inlineStr">
        <is>
          <t>Nordeste</t>
        </is>
      </c>
      <c r="D97" s="22" t="inlineStr">
        <is>
          <t>Bruno Lima</t>
        </is>
      </c>
      <c r="E97" s="22" t="inlineStr">
        <is>
          <t>Informática</t>
        </is>
      </c>
      <c r="F97" s="22" t="inlineStr">
        <is>
          <t>Impressora</t>
        </is>
      </c>
      <c r="G97" s="22" t="n">
        <v>2</v>
      </c>
      <c r="H97" s="24" t="n">
        <v>719.75</v>
      </c>
      <c r="I97" s="24" t="n">
        <v>1439.5</v>
      </c>
      <c r="J97" s="22" t="inlineStr">
        <is>
          <t>Boleto</t>
        </is>
      </c>
    </row>
    <row r="98">
      <c r="A98" s="22" t="inlineStr">
        <is>
          <t>V0097</t>
        </is>
      </c>
      <c r="B98" s="23" t="n">
        <v>46147</v>
      </c>
      <c r="C98" s="22" t="inlineStr">
        <is>
          <t>Norte</t>
        </is>
      </c>
      <c r="D98" s="22" t="inlineStr">
        <is>
          <t>Fernanda Costa</t>
        </is>
      </c>
      <c r="E98" s="22" t="inlineStr">
        <is>
          <t>Acessórios</t>
        </is>
      </c>
      <c r="F98" s="22" t="inlineStr">
        <is>
          <t>Headset</t>
        </is>
      </c>
      <c r="G98" s="22" t="n">
        <v>2</v>
      </c>
      <c r="H98" s="24" t="n">
        <v>234.97</v>
      </c>
      <c r="I98" s="24" t="n">
        <v>469.94</v>
      </c>
      <c r="J98" s="22" t="inlineStr">
        <is>
          <t>Cartão de débito</t>
        </is>
      </c>
    </row>
    <row r="99">
      <c r="A99" s="22" t="inlineStr">
        <is>
          <t>V0098</t>
        </is>
      </c>
      <c r="B99" s="23" t="n">
        <v>46240</v>
      </c>
      <c r="C99" s="22" t="inlineStr">
        <is>
          <t>Nordeste</t>
        </is>
      </c>
      <c r="D99" s="22" t="inlineStr">
        <is>
          <t>Carla Mendes</t>
        </is>
      </c>
      <c r="E99" s="22" t="inlineStr">
        <is>
          <t>Acessórios</t>
        </is>
      </c>
      <c r="F99" s="22" t="inlineStr">
        <is>
          <t>Webcam</t>
        </is>
      </c>
      <c r="G99" s="22" t="n">
        <v>1</v>
      </c>
      <c r="H99" s="24" t="n">
        <v>227.14</v>
      </c>
      <c r="I99" s="24" t="n">
        <v>227.14</v>
      </c>
      <c r="J99" s="22" t="inlineStr">
        <is>
          <t>Cartão de débito</t>
        </is>
      </c>
    </row>
    <row r="100">
      <c r="A100" s="22" t="inlineStr">
        <is>
          <t>V0099</t>
        </is>
      </c>
      <c r="B100" s="23" t="n">
        <v>46141</v>
      </c>
      <c r="C100" s="22" t="inlineStr">
        <is>
          <t>Norte</t>
        </is>
      </c>
      <c r="D100" s="22" t="inlineStr">
        <is>
          <t>Bruno Lima</t>
        </is>
      </c>
      <c r="E100" s="22" t="inlineStr">
        <is>
          <t>Informática</t>
        </is>
      </c>
      <c r="F100" s="22" t="inlineStr">
        <is>
          <t>Monitor</t>
        </is>
      </c>
      <c r="G100" s="22" t="n">
        <v>3</v>
      </c>
      <c r="H100" s="24" t="n">
        <v>921.96</v>
      </c>
      <c r="I100" s="24" t="n">
        <v>2765.88</v>
      </c>
      <c r="J100" s="22" t="inlineStr">
        <is>
          <t>Cartão de crédito</t>
        </is>
      </c>
    </row>
    <row r="101">
      <c r="A101" s="22" t="inlineStr">
        <is>
          <t>V0100</t>
        </is>
      </c>
      <c r="B101" s="23" t="n">
        <v>46133</v>
      </c>
      <c r="C101" s="22" t="inlineStr">
        <is>
          <t>Norte</t>
        </is>
      </c>
      <c r="D101" s="22" t="inlineStr">
        <is>
          <t>Fernanda Costa</t>
        </is>
      </c>
      <c r="E101" s="22" t="inlineStr">
        <is>
          <t>Informática</t>
        </is>
      </c>
      <c r="F101" s="22" t="inlineStr">
        <is>
          <t>Impressora</t>
        </is>
      </c>
      <c r="G101" s="22" t="n">
        <v>1</v>
      </c>
      <c r="H101" s="24" t="n">
        <v>791.1799999999999</v>
      </c>
      <c r="I101" s="24" t="n">
        <v>791.1799999999999</v>
      </c>
      <c r="J101" s="22" t="inlineStr">
        <is>
          <t>Cartão de débito</t>
        </is>
      </c>
    </row>
    <row r="102">
      <c r="A102" s="22" t="inlineStr">
        <is>
          <t>V0101</t>
        </is>
      </c>
      <c r="B102" s="23" t="n">
        <v>46074</v>
      </c>
      <c r="C102" s="22" t="inlineStr">
        <is>
          <t>Nordeste</t>
        </is>
      </c>
      <c r="D102" s="22" t="inlineStr">
        <is>
          <t>Ana Souza</t>
        </is>
      </c>
      <c r="E102" s="22" t="inlineStr">
        <is>
          <t>Acessórios</t>
        </is>
      </c>
      <c r="F102" s="22" t="inlineStr">
        <is>
          <t>Mouse</t>
        </is>
      </c>
      <c r="G102" s="22" t="n">
        <v>1</v>
      </c>
      <c r="H102" s="24" t="n">
        <v>92.89</v>
      </c>
      <c r="I102" s="24" t="n">
        <v>92.89</v>
      </c>
      <c r="J102" s="22" t="inlineStr">
        <is>
          <t>Cartão de crédito</t>
        </is>
      </c>
    </row>
    <row r="103">
      <c r="A103" s="22" t="inlineStr">
        <is>
          <t>V0102</t>
        </is>
      </c>
      <c r="B103" s="23" t="n">
        <v>46163</v>
      </c>
      <c r="C103" s="22" t="inlineStr">
        <is>
          <t>Sul</t>
        </is>
      </c>
      <c r="D103" s="22" t="inlineStr">
        <is>
          <t>Diego Alves</t>
        </is>
      </c>
      <c r="E103" s="22" t="inlineStr">
        <is>
          <t>Informática</t>
        </is>
      </c>
      <c r="F103" s="22" t="inlineStr">
        <is>
          <t>Notebook</t>
        </is>
      </c>
      <c r="G103" s="22" t="n">
        <v>5</v>
      </c>
      <c r="H103" s="24" t="n">
        <v>3227.32</v>
      </c>
      <c r="I103" s="24" t="n">
        <v>16136.6</v>
      </c>
      <c r="J103" s="22" t="inlineStr">
        <is>
          <t>Pix</t>
        </is>
      </c>
    </row>
    <row r="104">
      <c r="A104" s="22" t="inlineStr">
        <is>
          <t>V0103</t>
        </is>
      </c>
      <c r="B104" s="23" t="n">
        <v>46029</v>
      </c>
      <c r="C104" s="22" t="inlineStr">
        <is>
          <t>Nordeste</t>
        </is>
      </c>
      <c r="D104" s="22" t="inlineStr">
        <is>
          <t>Bruno Lima</t>
        </is>
      </c>
      <c r="E104" s="22" t="inlineStr">
        <is>
          <t>Telefonia</t>
        </is>
      </c>
      <c r="F104" s="22" t="inlineStr">
        <is>
          <t>Smartwatch</t>
        </is>
      </c>
      <c r="G104" s="22" t="n">
        <v>1</v>
      </c>
      <c r="H104" s="24" t="n">
        <v>647.79</v>
      </c>
      <c r="I104" s="24" t="n">
        <v>647.79</v>
      </c>
      <c r="J104" s="22" t="inlineStr">
        <is>
          <t>Pix</t>
        </is>
      </c>
    </row>
    <row r="105">
      <c r="A105" s="22" t="inlineStr">
        <is>
          <t>V0104</t>
        </is>
      </c>
      <c r="B105" s="23" t="n">
        <v>46152</v>
      </c>
      <c r="C105" s="22" t="inlineStr">
        <is>
          <t>Centro-Oeste</t>
        </is>
      </c>
      <c r="D105" s="22" t="inlineStr">
        <is>
          <t>Ana Souza</t>
        </is>
      </c>
      <c r="E105" s="22" t="inlineStr">
        <is>
          <t>Informática</t>
        </is>
      </c>
      <c r="F105" s="22" t="inlineStr">
        <is>
          <t>Impressora</t>
        </is>
      </c>
      <c r="G105" s="22" t="n">
        <v>1</v>
      </c>
      <c r="H105" s="24" t="n">
        <v>725.75</v>
      </c>
      <c r="I105" s="24" t="n">
        <v>725.75</v>
      </c>
      <c r="J105" s="22" t="inlineStr">
        <is>
          <t>Pix</t>
        </is>
      </c>
    </row>
    <row r="106">
      <c r="A106" s="22" t="inlineStr">
        <is>
          <t>V0105</t>
        </is>
      </c>
      <c r="B106" s="23" t="n">
        <v>46100</v>
      </c>
      <c r="C106" s="22" t="inlineStr">
        <is>
          <t>Sudeste</t>
        </is>
      </c>
      <c r="D106" s="22" t="inlineStr">
        <is>
          <t>Bruno Lima</t>
        </is>
      </c>
      <c r="E106" s="22" t="inlineStr">
        <is>
          <t>Acessórios</t>
        </is>
      </c>
      <c r="F106" s="22" t="inlineStr">
        <is>
          <t>Teclado</t>
        </is>
      </c>
      <c r="G106" s="22" t="n">
        <v>3</v>
      </c>
      <c r="H106" s="24" t="n">
        <v>192.93</v>
      </c>
      <c r="I106" s="24" t="n">
        <v>578.79</v>
      </c>
      <c r="J106" s="22" t="inlineStr">
        <is>
          <t>Pix</t>
        </is>
      </c>
    </row>
    <row r="107">
      <c r="A107" s="22" t="inlineStr">
        <is>
          <t>V0106</t>
        </is>
      </c>
      <c r="B107" s="23" t="n">
        <v>46308</v>
      </c>
      <c r="C107" s="22" t="inlineStr">
        <is>
          <t>Sul</t>
        </is>
      </c>
      <c r="D107" s="22" t="inlineStr">
        <is>
          <t>Fernanda Costa</t>
        </is>
      </c>
      <c r="E107" s="22" t="inlineStr">
        <is>
          <t>Telefonia</t>
        </is>
      </c>
      <c r="F107" s="22" t="inlineStr">
        <is>
          <t>Tablet</t>
        </is>
      </c>
      <c r="G107" s="22" t="n">
        <v>2</v>
      </c>
      <c r="H107" s="24" t="n">
        <v>1412.8</v>
      </c>
      <c r="I107" s="24" t="n">
        <v>2825.6</v>
      </c>
      <c r="J107" s="22" t="inlineStr">
        <is>
          <t>Boleto</t>
        </is>
      </c>
    </row>
    <row r="108">
      <c r="A108" s="22" t="inlineStr">
        <is>
          <t>V0107</t>
        </is>
      </c>
      <c r="B108" s="23" t="n">
        <v>46253</v>
      </c>
      <c r="C108" s="22" t="inlineStr">
        <is>
          <t>Centro-Oeste</t>
        </is>
      </c>
      <c r="D108" s="22" t="inlineStr">
        <is>
          <t>Carla Mendes</t>
        </is>
      </c>
      <c r="E108" s="22" t="inlineStr">
        <is>
          <t>Informática</t>
        </is>
      </c>
      <c r="F108" s="22" t="inlineStr">
        <is>
          <t>Impressora</t>
        </is>
      </c>
      <c r="G108" s="22" t="n">
        <v>1</v>
      </c>
      <c r="H108" s="24" t="n">
        <v>791.05</v>
      </c>
      <c r="I108" s="24" t="n">
        <v>791.05</v>
      </c>
      <c r="J108" s="22" t="inlineStr">
        <is>
          <t>Pix</t>
        </is>
      </c>
    </row>
    <row r="109">
      <c r="A109" s="22" t="inlineStr">
        <is>
          <t>V0108</t>
        </is>
      </c>
      <c r="B109" s="23" t="n">
        <v>46073</v>
      </c>
      <c r="C109" s="22" t="inlineStr">
        <is>
          <t>Sudeste</t>
        </is>
      </c>
      <c r="D109" s="22" t="inlineStr">
        <is>
          <t>Bruno Lima</t>
        </is>
      </c>
      <c r="E109" s="22" t="inlineStr">
        <is>
          <t>Acessórios</t>
        </is>
      </c>
      <c r="F109" s="22" t="inlineStr">
        <is>
          <t>Mouse</t>
        </is>
      </c>
      <c r="G109" s="22" t="n">
        <v>2</v>
      </c>
      <c r="H109" s="24" t="n">
        <v>91.42</v>
      </c>
      <c r="I109" s="24" t="n">
        <v>182.84</v>
      </c>
      <c r="J109" s="22" t="inlineStr">
        <is>
          <t>Cartão de crédito</t>
        </is>
      </c>
    </row>
    <row r="110">
      <c r="A110" s="22" t="inlineStr">
        <is>
          <t>V0109</t>
        </is>
      </c>
      <c r="B110" s="23" t="n">
        <v>46111</v>
      </c>
      <c r="C110" s="22" t="inlineStr">
        <is>
          <t>Centro-Oeste</t>
        </is>
      </c>
      <c r="D110" s="22" t="inlineStr">
        <is>
          <t>Fernanda Costa</t>
        </is>
      </c>
      <c r="E110" s="22" t="inlineStr">
        <is>
          <t>Acessórios</t>
        </is>
      </c>
      <c r="F110" s="22" t="inlineStr">
        <is>
          <t>Webcam</t>
        </is>
      </c>
      <c r="G110" s="22" t="n">
        <v>1</v>
      </c>
      <c r="H110" s="24" t="n">
        <v>202.49</v>
      </c>
      <c r="I110" s="24" t="n">
        <v>202.49</v>
      </c>
      <c r="J110" s="22" t="inlineStr">
        <is>
          <t>Boleto</t>
        </is>
      </c>
    </row>
    <row r="111">
      <c r="A111" s="22" t="inlineStr">
        <is>
          <t>V0110</t>
        </is>
      </c>
      <c r="B111" s="23" t="n">
        <v>46172</v>
      </c>
      <c r="C111" s="22" t="inlineStr">
        <is>
          <t>Centro-Oeste</t>
        </is>
      </c>
      <c r="D111" s="22" t="inlineStr">
        <is>
          <t>Ana Souza</t>
        </is>
      </c>
      <c r="E111" s="22" t="inlineStr">
        <is>
          <t>Informática</t>
        </is>
      </c>
      <c r="F111" s="22" t="inlineStr">
        <is>
          <t>Notebook</t>
        </is>
      </c>
      <c r="G111" s="22" t="n">
        <v>1</v>
      </c>
      <c r="H111" s="24" t="n">
        <v>3305.96</v>
      </c>
      <c r="I111" s="24" t="n">
        <v>3305.96</v>
      </c>
      <c r="J111" s="22" t="inlineStr">
        <is>
          <t>Cartão de crédito</t>
        </is>
      </c>
    </row>
    <row r="112">
      <c r="A112" s="22" t="inlineStr">
        <is>
          <t>V0111</t>
        </is>
      </c>
      <c r="B112" s="23" t="n">
        <v>46158</v>
      </c>
      <c r="C112" s="22" t="inlineStr">
        <is>
          <t>Centro-Oeste</t>
        </is>
      </c>
      <c r="D112" s="22" t="inlineStr">
        <is>
          <t>Ana Souza</t>
        </is>
      </c>
      <c r="E112" s="22" t="inlineStr">
        <is>
          <t>Telefonia</t>
        </is>
      </c>
      <c r="F112" s="22" t="inlineStr">
        <is>
          <t>Smartwatch</t>
        </is>
      </c>
      <c r="G112" s="22" t="n">
        <v>2</v>
      </c>
      <c r="H112" s="24" t="n">
        <v>695.1</v>
      </c>
      <c r="I112" s="24" t="n">
        <v>1390.2</v>
      </c>
      <c r="J112" s="22" t="inlineStr">
        <is>
          <t>Cartão de crédito</t>
        </is>
      </c>
    </row>
    <row r="113">
      <c r="A113" s="22" t="inlineStr">
        <is>
          <t>V0112</t>
        </is>
      </c>
      <c r="B113" s="23" t="n">
        <v>46099</v>
      </c>
      <c r="C113" s="22" t="inlineStr">
        <is>
          <t>Sul</t>
        </is>
      </c>
      <c r="D113" s="22" t="inlineStr">
        <is>
          <t>Carla Mendes</t>
        </is>
      </c>
      <c r="E113" s="22" t="inlineStr">
        <is>
          <t>Acessórios</t>
        </is>
      </c>
      <c r="F113" s="22" t="inlineStr">
        <is>
          <t>Headset</t>
        </is>
      </c>
      <c r="G113" s="22" t="n">
        <v>3</v>
      </c>
      <c r="H113" s="24" t="n">
        <v>223.54</v>
      </c>
      <c r="I113" s="24" t="n">
        <v>670.62</v>
      </c>
      <c r="J113" s="22" t="inlineStr">
        <is>
          <t>Cartão de débito</t>
        </is>
      </c>
    </row>
    <row r="114">
      <c r="A114" s="22" t="inlineStr">
        <is>
          <t>V0113</t>
        </is>
      </c>
      <c r="B114" s="23" t="n">
        <v>46247</v>
      </c>
      <c r="C114" s="22" t="inlineStr">
        <is>
          <t>Centro-Oeste</t>
        </is>
      </c>
      <c r="D114" s="22" t="inlineStr">
        <is>
          <t>Carla Mendes</t>
        </is>
      </c>
      <c r="E114" s="22" t="inlineStr">
        <is>
          <t>Informática</t>
        </is>
      </c>
      <c r="F114" s="22" t="inlineStr">
        <is>
          <t>Monitor</t>
        </is>
      </c>
      <c r="G114" s="22" t="n">
        <v>2</v>
      </c>
      <c r="H114" s="24" t="n">
        <v>920.22</v>
      </c>
      <c r="I114" s="24" t="n">
        <v>1840.44</v>
      </c>
      <c r="J114" s="22" t="inlineStr">
        <is>
          <t>Boleto</t>
        </is>
      </c>
    </row>
    <row r="115">
      <c r="A115" s="22" t="inlineStr">
        <is>
          <t>V0114</t>
        </is>
      </c>
      <c r="B115" s="23" t="n">
        <v>46247</v>
      </c>
      <c r="C115" s="22" t="inlineStr">
        <is>
          <t>Nordeste</t>
        </is>
      </c>
      <c r="D115" s="22" t="inlineStr">
        <is>
          <t>Fernanda Costa</t>
        </is>
      </c>
      <c r="E115" s="22" t="inlineStr">
        <is>
          <t>Informática</t>
        </is>
      </c>
      <c r="F115" s="22" t="inlineStr">
        <is>
          <t>Monitor</t>
        </is>
      </c>
      <c r="G115" s="22" t="n">
        <v>2</v>
      </c>
      <c r="H115" s="24" t="n">
        <v>1009.19</v>
      </c>
      <c r="I115" s="24" t="n">
        <v>2018.38</v>
      </c>
      <c r="J115" s="22" t="inlineStr">
        <is>
          <t>Cartão de débito</t>
        </is>
      </c>
    </row>
    <row r="116">
      <c r="A116" s="22" t="inlineStr">
        <is>
          <t>V0115</t>
        </is>
      </c>
      <c r="B116" s="23" t="n">
        <v>46036</v>
      </c>
      <c r="C116" s="22" t="inlineStr">
        <is>
          <t>Norte</t>
        </is>
      </c>
      <c r="D116" s="22" t="inlineStr">
        <is>
          <t>Fernanda Costa</t>
        </is>
      </c>
      <c r="E116" s="22" t="inlineStr">
        <is>
          <t>Informática</t>
        </is>
      </c>
      <c r="F116" s="22" t="inlineStr">
        <is>
          <t>Monitor</t>
        </is>
      </c>
      <c r="G116" s="22" t="n">
        <v>1</v>
      </c>
      <c r="H116" s="24" t="n">
        <v>976.49</v>
      </c>
      <c r="I116" s="24" t="n">
        <v>976.49</v>
      </c>
      <c r="J116" s="22" t="inlineStr">
        <is>
          <t>Pix</t>
        </is>
      </c>
    </row>
    <row r="117">
      <c r="A117" s="22" t="inlineStr">
        <is>
          <t>V0116</t>
        </is>
      </c>
      <c r="B117" s="23" t="n">
        <v>46160</v>
      </c>
      <c r="C117" s="22" t="inlineStr">
        <is>
          <t>Centro-Oeste</t>
        </is>
      </c>
      <c r="D117" s="22" t="inlineStr">
        <is>
          <t>Fernanda Costa</t>
        </is>
      </c>
      <c r="E117" s="22" t="inlineStr">
        <is>
          <t>Telefonia</t>
        </is>
      </c>
      <c r="F117" s="22" t="inlineStr">
        <is>
          <t>Smartwatch</t>
        </is>
      </c>
      <c r="G117" s="22" t="n">
        <v>1</v>
      </c>
      <c r="H117" s="24" t="n">
        <v>676.65</v>
      </c>
      <c r="I117" s="24" t="n">
        <v>676.65</v>
      </c>
      <c r="J117" s="22" t="inlineStr">
        <is>
          <t>Boleto</t>
        </is>
      </c>
    </row>
    <row r="118">
      <c r="A118" s="22" t="inlineStr">
        <is>
          <t>V0117</t>
        </is>
      </c>
      <c r="B118" s="23" t="n">
        <v>46165</v>
      </c>
      <c r="C118" s="22" t="inlineStr">
        <is>
          <t>Centro-Oeste</t>
        </is>
      </c>
      <c r="D118" s="22" t="inlineStr">
        <is>
          <t>Ana Souza</t>
        </is>
      </c>
      <c r="E118" s="22" t="inlineStr">
        <is>
          <t>Acessórios</t>
        </is>
      </c>
      <c r="F118" s="22" t="inlineStr">
        <is>
          <t>Teclado</t>
        </is>
      </c>
      <c r="G118" s="22" t="n">
        <v>5</v>
      </c>
      <c r="H118" s="24" t="n">
        <v>178.15</v>
      </c>
      <c r="I118" s="24" t="n">
        <v>890.75</v>
      </c>
      <c r="J118" s="22" t="inlineStr">
        <is>
          <t>Boleto</t>
        </is>
      </c>
    </row>
    <row r="119">
      <c r="A119" s="22" t="inlineStr">
        <is>
          <t>V0118</t>
        </is>
      </c>
      <c r="B119" s="23" t="n">
        <v>46201</v>
      </c>
      <c r="C119" s="22" t="inlineStr">
        <is>
          <t>Sul</t>
        </is>
      </c>
      <c r="D119" s="22" t="inlineStr">
        <is>
          <t>Carla Mendes</t>
        </is>
      </c>
      <c r="E119" s="22" t="inlineStr">
        <is>
          <t>Telefonia</t>
        </is>
      </c>
      <c r="F119" s="22" t="inlineStr">
        <is>
          <t>Tablet</t>
        </is>
      </c>
      <c r="G119" s="22" t="n">
        <v>1</v>
      </c>
      <c r="H119" s="24" t="n">
        <v>1386.75</v>
      </c>
      <c r="I119" s="24" t="n">
        <v>1386.75</v>
      </c>
      <c r="J119" s="22" t="inlineStr">
        <is>
          <t>Boleto</t>
        </is>
      </c>
    </row>
    <row r="120">
      <c r="A120" s="22" t="inlineStr">
        <is>
          <t>V0119</t>
        </is>
      </c>
      <c r="B120" s="23" t="n">
        <v>46276</v>
      </c>
      <c r="C120" s="22" t="inlineStr">
        <is>
          <t>Norte</t>
        </is>
      </c>
      <c r="D120" s="22" t="inlineStr">
        <is>
          <t>Ana Souza</t>
        </is>
      </c>
      <c r="E120" s="22" t="inlineStr">
        <is>
          <t>Acessórios</t>
        </is>
      </c>
      <c r="F120" s="22" t="inlineStr">
        <is>
          <t>Headset</t>
        </is>
      </c>
      <c r="G120" s="22" t="n">
        <v>2</v>
      </c>
      <c r="H120" s="24" t="n">
        <v>236.18</v>
      </c>
      <c r="I120" s="24" t="n">
        <v>472.36</v>
      </c>
      <c r="J120" s="22" t="inlineStr">
        <is>
          <t>Boleto</t>
        </is>
      </c>
    </row>
    <row r="121">
      <c r="A121" s="22" t="inlineStr">
        <is>
          <t>V0120</t>
        </is>
      </c>
      <c r="B121" s="23" t="n">
        <v>46068</v>
      </c>
      <c r="C121" s="22" t="inlineStr">
        <is>
          <t>Centro-Oeste</t>
        </is>
      </c>
      <c r="D121" s="22" t="inlineStr">
        <is>
          <t>Fernanda Costa</t>
        </is>
      </c>
      <c r="E121" s="22" t="inlineStr">
        <is>
          <t>Telefonia</t>
        </is>
      </c>
      <c r="F121" s="22" t="inlineStr">
        <is>
          <t>Smartphone</t>
        </is>
      </c>
      <c r="G121" s="22" t="n">
        <v>1</v>
      </c>
      <c r="H121" s="24" t="n">
        <v>1970.95</v>
      </c>
      <c r="I121" s="24" t="n">
        <v>1970.95</v>
      </c>
      <c r="J121" s="22" t="inlineStr">
        <is>
          <t>Pix</t>
        </is>
      </c>
    </row>
    <row r="122">
      <c r="A122" s="22" t="inlineStr">
        <is>
          <t>V0121</t>
        </is>
      </c>
      <c r="B122" s="23" t="n">
        <v>46300</v>
      </c>
      <c r="C122" s="22" t="inlineStr">
        <is>
          <t>Nordeste</t>
        </is>
      </c>
      <c r="D122" s="22" t="inlineStr">
        <is>
          <t>Fernanda Costa</t>
        </is>
      </c>
      <c r="E122" s="22" t="inlineStr">
        <is>
          <t>Informática</t>
        </is>
      </c>
      <c r="F122" s="22" t="inlineStr">
        <is>
          <t>Impressora</t>
        </is>
      </c>
      <c r="G122" s="22" t="n">
        <v>1</v>
      </c>
      <c r="H122" s="24" t="n">
        <v>741.01</v>
      </c>
      <c r="I122" s="24" t="n">
        <v>741.01</v>
      </c>
      <c r="J122" s="22" t="inlineStr">
        <is>
          <t>Boleto</t>
        </is>
      </c>
    </row>
    <row r="123">
      <c r="A123" s="22" t="inlineStr">
        <is>
          <t>V0122</t>
        </is>
      </c>
      <c r="B123" s="23" t="n">
        <v>46249</v>
      </c>
      <c r="C123" s="22" t="inlineStr">
        <is>
          <t>Nordeste</t>
        </is>
      </c>
      <c r="D123" s="22" t="inlineStr">
        <is>
          <t>Diego Alves</t>
        </is>
      </c>
      <c r="E123" s="22" t="inlineStr">
        <is>
          <t>Informática</t>
        </is>
      </c>
      <c r="F123" s="22" t="inlineStr">
        <is>
          <t>Notebook</t>
        </is>
      </c>
      <c r="G123" s="22" t="n">
        <v>1</v>
      </c>
      <c r="H123" s="24" t="n">
        <v>3225.2</v>
      </c>
      <c r="I123" s="24" t="n">
        <v>3225.2</v>
      </c>
      <c r="J123" s="22" t="inlineStr">
        <is>
          <t>Boleto</t>
        </is>
      </c>
    </row>
    <row r="124">
      <c r="A124" s="22" t="inlineStr">
        <is>
          <t>V0123</t>
        </is>
      </c>
      <c r="B124" s="23" t="n">
        <v>46085</v>
      </c>
      <c r="C124" s="22" t="inlineStr">
        <is>
          <t>Sul</t>
        </is>
      </c>
      <c r="D124" s="22" t="inlineStr">
        <is>
          <t>Bruno Lima</t>
        </is>
      </c>
      <c r="E124" s="22" t="inlineStr">
        <is>
          <t>Informática</t>
        </is>
      </c>
      <c r="F124" s="22" t="inlineStr">
        <is>
          <t>Notebook</t>
        </is>
      </c>
      <c r="G124" s="22" t="n">
        <v>5</v>
      </c>
      <c r="H124" s="24" t="n">
        <v>3255.74</v>
      </c>
      <c r="I124" s="24" t="n">
        <v>16278.7</v>
      </c>
      <c r="J124" s="22" t="inlineStr">
        <is>
          <t>Cartão de débito</t>
        </is>
      </c>
    </row>
    <row r="125">
      <c r="A125" s="22" t="inlineStr">
        <is>
          <t>V0124</t>
        </is>
      </c>
      <c r="B125" s="23" t="n">
        <v>46305</v>
      </c>
      <c r="C125" s="22" t="inlineStr">
        <is>
          <t>Sudeste</t>
        </is>
      </c>
      <c r="D125" s="22" t="inlineStr">
        <is>
          <t>Diego Alves</t>
        </is>
      </c>
      <c r="E125" s="22" t="inlineStr">
        <is>
          <t>Informática</t>
        </is>
      </c>
      <c r="F125" s="22" t="inlineStr">
        <is>
          <t>Notebook</t>
        </is>
      </c>
      <c r="G125" s="22" t="n">
        <v>2</v>
      </c>
      <c r="H125" s="24" t="n">
        <v>2991.72</v>
      </c>
      <c r="I125" s="24" t="n">
        <v>5983.44</v>
      </c>
      <c r="J125" s="22" t="inlineStr">
        <is>
          <t>Pix</t>
        </is>
      </c>
    </row>
    <row r="126">
      <c r="A126" s="22" t="inlineStr">
        <is>
          <t>V0125</t>
        </is>
      </c>
      <c r="B126" s="23" t="n">
        <v>46101</v>
      </c>
      <c r="C126" s="22" t="inlineStr">
        <is>
          <t>Nordeste</t>
        </is>
      </c>
      <c r="D126" s="22" t="inlineStr">
        <is>
          <t>Diego Alves</t>
        </is>
      </c>
      <c r="E126" s="22" t="inlineStr">
        <is>
          <t>Informática</t>
        </is>
      </c>
      <c r="F126" s="22" t="inlineStr">
        <is>
          <t>Impressora</t>
        </is>
      </c>
      <c r="G126" s="22" t="n">
        <v>4</v>
      </c>
      <c r="H126" s="24" t="n">
        <v>754.02</v>
      </c>
      <c r="I126" s="24" t="n">
        <v>3016.08</v>
      </c>
      <c r="J126" s="22" t="inlineStr">
        <is>
          <t>Boleto</t>
        </is>
      </c>
    </row>
    <row r="127">
      <c r="A127" s="22" t="inlineStr">
        <is>
          <t>V0126</t>
        </is>
      </c>
      <c r="B127" s="23" t="n">
        <v>46264</v>
      </c>
      <c r="C127" s="22" t="inlineStr">
        <is>
          <t>Sul</t>
        </is>
      </c>
      <c r="D127" s="22" t="inlineStr">
        <is>
          <t>Fernanda Costa</t>
        </is>
      </c>
      <c r="E127" s="22" t="inlineStr">
        <is>
          <t>Acessórios</t>
        </is>
      </c>
      <c r="F127" s="22" t="inlineStr">
        <is>
          <t>Mouse</t>
        </is>
      </c>
      <c r="G127" s="22" t="n">
        <v>2</v>
      </c>
      <c r="H127" s="24" t="n">
        <v>89.59999999999999</v>
      </c>
      <c r="I127" s="24" t="n">
        <v>179.2</v>
      </c>
      <c r="J127" s="22" t="inlineStr">
        <is>
          <t>Cartão de crédito</t>
        </is>
      </c>
    </row>
    <row r="128">
      <c r="A128" s="22" t="inlineStr">
        <is>
          <t>V0127</t>
        </is>
      </c>
      <c r="B128" s="23" t="n">
        <v>46058</v>
      </c>
      <c r="C128" s="22" t="inlineStr">
        <is>
          <t>Nordeste</t>
        </is>
      </c>
      <c r="D128" s="22" t="inlineStr">
        <is>
          <t>Fernanda Costa</t>
        </is>
      </c>
      <c r="E128" s="22" t="inlineStr">
        <is>
          <t>Acessórios</t>
        </is>
      </c>
      <c r="F128" s="22" t="inlineStr">
        <is>
          <t>Headset</t>
        </is>
      </c>
      <c r="G128" s="22" t="n">
        <v>3</v>
      </c>
      <c r="H128" s="24" t="n">
        <v>253.61</v>
      </c>
      <c r="I128" s="24" t="n">
        <v>760.83</v>
      </c>
      <c r="J128" s="22" t="inlineStr">
        <is>
          <t>Cartão de débito</t>
        </is>
      </c>
    </row>
    <row r="129">
      <c r="A129" s="22" t="inlineStr">
        <is>
          <t>V0128</t>
        </is>
      </c>
      <c r="B129" s="23" t="n">
        <v>46024</v>
      </c>
      <c r="C129" s="22" t="inlineStr">
        <is>
          <t>Norte</t>
        </is>
      </c>
      <c r="D129" s="22" t="inlineStr">
        <is>
          <t>Diego Alves</t>
        </is>
      </c>
      <c r="E129" s="22" t="inlineStr">
        <is>
          <t>Acessórios</t>
        </is>
      </c>
      <c r="F129" s="22" t="inlineStr">
        <is>
          <t>Headset</t>
        </is>
      </c>
      <c r="G129" s="22" t="n">
        <v>3</v>
      </c>
      <c r="H129" s="24" t="n">
        <v>252.96</v>
      </c>
      <c r="I129" s="24" t="n">
        <v>758.88</v>
      </c>
      <c r="J129" s="22" t="inlineStr">
        <is>
          <t>Cartão de crédito</t>
        </is>
      </c>
    </row>
    <row r="130">
      <c r="A130" s="22" t="inlineStr">
        <is>
          <t>V0129</t>
        </is>
      </c>
      <c r="B130" s="23" t="n">
        <v>46251</v>
      </c>
      <c r="C130" s="22" t="inlineStr">
        <is>
          <t>Norte</t>
        </is>
      </c>
      <c r="D130" s="22" t="inlineStr">
        <is>
          <t>Diego Alves</t>
        </is>
      </c>
      <c r="E130" s="22" t="inlineStr">
        <is>
          <t>Acessórios</t>
        </is>
      </c>
      <c r="F130" s="22" t="inlineStr">
        <is>
          <t>Webcam</t>
        </is>
      </c>
      <c r="G130" s="22" t="n">
        <v>2</v>
      </c>
      <c r="H130" s="24" t="n">
        <v>214.1</v>
      </c>
      <c r="I130" s="24" t="n">
        <v>428.2</v>
      </c>
      <c r="J130" s="22" t="inlineStr">
        <is>
          <t>Boleto</t>
        </is>
      </c>
    </row>
    <row r="131">
      <c r="A131" s="22" t="inlineStr">
        <is>
          <t>V0130</t>
        </is>
      </c>
      <c r="B131" s="23" t="n">
        <v>46187</v>
      </c>
      <c r="C131" s="22" t="inlineStr">
        <is>
          <t>Centro-Oeste</t>
        </is>
      </c>
      <c r="D131" s="22" t="inlineStr">
        <is>
          <t>Bruno Lima</t>
        </is>
      </c>
      <c r="E131" s="22" t="inlineStr">
        <is>
          <t>Acessórios</t>
        </is>
      </c>
      <c r="F131" s="22" t="inlineStr">
        <is>
          <t>Mouse</t>
        </is>
      </c>
      <c r="G131" s="22" t="n">
        <v>5</v>
      </c>
      <c r="H131" s="24" t="n">
        <v>91.03</v>
      </c>
      <c r="I131" s="24" t="n">
        <v>455.15</v>
      </c>
      <c r="J131" s="22" t="inlineStr">
        <is>
          <t>Boleto</t>
        </is>
      </c>
    </row>
    <row r="132">
      <c r="A132" s="22" t="inlineStr">
        <is>
          <t>V0131</t>
        </is>
      </c>
      <c r="B132" s="23" t="n">
        <v>46045</v>
      </c>
      <c r="C132" s="22" t="inlineStr">
        <is>
          <t>Centro-Oeste</t>
        </is>
      </c>
      <c r="D132" s="22" t="inlineStr">
        <is>
          <t>Diego Alves</t>
        </is>
      </c>
      <c r="E132" s="22" t="inlineStr">
        <is>
          <t>Telefonia</t>
        </is>
      </c>
      <c r="F132" s="22" t="inlineStr">
        <is>
          <t>Smartphone</t>
        </is>
      </c>
      <c r="G132" s="22" t="n">
        <v>3</v>
      </c>
      <c r="H132" s="24" t="n">
        <v>2168.96</v>
      </c>
      <c r="I132" s="24" t="n">
        <v>6506.88</v>
      </c>
      <c r="J132" s="22" t="inlineStr">
        <is>
          <t>Cartão de crédito</t>
        </is>
      </c>
    </row>
    <row r="133">
      <c r="A133" s="22" t="inlineStr">
        <is>
          <t>V0132</t>
        </is>
      </c>
      <c r="B133" s="23" t="n">
        <v>46276</v>
      </c>
      <c r="C133" s="22" t="inlineStr">
        <is>
          <t>Nordeste</t>
        </is>
      </c>
      <c r="D133" s="22" t="inlineStr">
        <is>
          <t>Ana Souza</t>
        </is>
      </c>
      <c r="E133" s="22" t="inlineStr">
        <is>
          <t>Informática</t>
        </is>
      </c>
      <c r="F133" s="22" t="inlineStr">
        <is>
          <t>Notebook</t>
        </is>
      </c>
      <c r="G133" s="22" t="n">
        <v>1</v>
      </c>
      <c r="H133" s="24" t="n">
        <v>3438.26</v>
      </c>
      <c r="I133" s="24" t="n">
        <v>3438.26</v>
      </c>
      <c r="J133" s="22" t="inlineStr">
        <is>
          <t>Boleto</t>
        </is>
      </c>
    </row>
    <row r="134">
      <c r="A134" s="22" t="inlineStr">
        <is>
          <t>V0133</t>
        </is>
      </c>
      <c r="B134" s="23" t="n">
        <v>46074</v>
      </c>
      <c r="C134" s="22" t="inlineStr">
        <is>
          <t>Sul</t>
        </is>
      </c>
      <c r="D134" s="22" t="inlineStr">
        <is>
          <t>Diego Alves</t>
        </is>
      </c>
      <c r="E134" s="22" t="inlineStr">
        <is>
          <t>Acessórios</t>
        </is>
      </c>
      <c r="F134" s="22" t="inlineStr">
        <is>
          <t>Webcam</t>
        </is>
      </c>
      <c r="G134" s="22" t="n">
        <v>4</v>
      </c>
      <c r="H134" s="24" t="n">
        <v>202.94</v>
      </c>
      <c r="I134" s="24" t="n">
        <v>811.76</v>
      </c>
      <c r="J134" s="22" t="inlineStr">
        <is>
          <t>Cartão de crédito</t>
        </is>
      </c>
    </row>
    <row r="135">
      <c r="A135" s="22" t="inlineStr">
        <is>
          <t>V0134</t>
        </is>
      </c>
      <c r="B135" s="23" t="n">
        <v>46061</v>
      </c>
      <c r="C135" s="22" t="inlineStr">
        <is>
          <t>Norte</t>
        </is>
      </c>
      <c r="D135" s="22" t="inlineStr">
        <is>
          <t>Diego Alves</t>
        </is>
      </c>
      <c r="E135" s="22" t="inlineStr">
        <is>
          <t>Informática</t>
        </is>
      </c>
      <c r="F135" s="22" t="inlineStr">
        <is>
          <t>Impressora</t>
        </is>
      </c>
      <c r="G135" s="22" t="n">
        <v>3</v>
      </c>
      <c r="H135" s="24" t="n">
        <v>750.67</v>
      </c>
      <c r="I135" s="24" t="n">
        <v>2252.01</v>
      </c>
      <c r="J135" s="22" t="inlineStr">
        <is>
          <t>Pix</t>
        </is>
      </c>
    </row>
    <row r="136">
      <c r="A136" s="22" t="inlineStr">
        <is>
          <t>V0135</t>
        </is>
      </c>
      <c r="B136" s="23" t="n">
        <v>46191</v>
      </c>
      <c r="C136" s="22" t="inlineStr">
        <is>
          <t>Centro-Oeste</t>
        </is>
      </c>
      <c r="D136" s="22" t="inlineStr">
        <is>
          <t>Fernanda Costa</t>
        </is>
      </c>
      <c r="E136" s="22" t="inlineStr">
        <is>
          <t>Acessórios</t>
        </is>
      </c>
      <c r="F136" s="22" t="inlineStr">
        <is>
          <t>Webcam</t>
        </is>
      </c>
      <c r="G136" s="22" t="n">
        <v>1</v>
      </c>
      <c r="H136" s="24" t="n">
        <v>213.55</v>
      </c>
      <c r="I136" s="24" t="n">
        <v>213.55</v>
      </c>
      <c r="J136" s="22" t="inlineStr">
        <is>
          <t>Pix</t>
        </is>
      </c>
    </row>
    <row r="137">
      <c r="A137" s="22" t="inlineStr">
        <is>
          <t>V0136</t>
        </is>
      </c>
      <c r="B137" s="23" t="n">
        <v>46058</v>
      </c>
      <c r="C137" s="22" t="inlineStr">
        <is>
          <t>Sul</t>
        </is>
      </c>
      <c r="D137" s="22" t="inlineStr">
        <is>
          <t>Ana Souza</t>
        </is>
      </c>
      <c r="E137" s="22" t="inlineStr">
        <is>
          <t>Acessórios</t>
        </is>
      </c>
      <c r="F137" s="22" t="inlineStr">
        <is>
          <t>Mouse</t>
        </is>
      </c>
      <c r="G137" s="22" t="n">
        <v>2</v>
      </c>
      <c r="H137" s="24" t="n">
        <v>101.4</v>
      </c>
      <c r="I137" s="24" t="n">
        <v>202.8</v>
      </c>
      <c r="J137" s="22" t="inlineStr">
        <is>
          <t>Boleto</t>
        </is>
      </c>
    </row>
    <row r="138">
      <c r="A138" s="22" t="inlineStr">
        <is>
          <t>V0137</t>
        </is>
      </c>
      <c r="B138" s="23" t="n">
        <v>46073</v>
      </c>
      <c r="C138" s="22" t="inlineStr">
        <is>
          <t>Sudeste</t>
        </is>
      </c>
      <c r="D138" s="22" t="inlineStr">
        <is>
          <t>Ana Souza</t>
        </is>
      </c>
      <c r="E138" s="22" t="inlineStr">
        <is>
          <t>Informática</t>
        </is>
      </c>
      <c r="F138" s="22" t="inlineStr">
        <is>
          <t>Monitor</t>
        </is>
      </c>
      <c r="G138" s="22" t="n">
        <v>2</v>
      </c>
      <c r="H138" s="24" t="n">
        <v>979.49</v>
      </c>
      <c r="I138" s="24" t="n">
        <v>1958.98</v>
      </c>
      <c r="J138" s="22" t="inlineStr">
        <is>
          <t>Cartão de débito</t>
        </is>
      </c>
    </row>
    <row r="139">
      <c r="A139" s="22" t="inlineStr">
        <is>
          <t>V0138</t>
        </is>
      </c>
      <c r="B139" s="23" t="n">
        <v>46051</v>
      </c>
      <c r="C139" s="22" t="inlineStr">
        <is>
          <t>Sul</t>
        </is>
      </c>
      <c r="D139" s="22" t="inlineStr">
        <is>
          <t>Fernanda Costa</t>
        </is>
      </c>
      <c r="E139" s="22" t="inlineStr">
        <is>
          <t>Acessórios</t>
        </is>
      </c>
      <c r="F139" s="22" t="inlineStr">
        <is>
          <t>Headset</t>
        </is>
      </c>
      <c r="G139" s="22" t="n">
        <v>1</v>
      </c>
      <c r="H139" s="24" t="n">
        <v>237.34</v>
      </c>
      <c r="I139" s="24" t="n">
        <v>237.34</v>
      </c>
      <c r="J139" s="22" t="inlineStr">
        <is>
          <t>Boleto</t>
        </is>
      </c>
    </row>
    <row r="140">
      <c r="A140" s="22" t="inlineStr">
        <is>
          <t>V0139</t>
        </is>
      </c>
      <c r="B140" s="23" t="n">
        <v>46312</v>
      </c>
      <c r="C140" s="22" t="inlineStr">
        <is>
          <t>Centro-Oeste</t>
        </is>
      </c>
      <c r="D140" s="22" t="inlineStr">
        <is>
          <t>Fernanda Costa</t>
        </is>
      </c>
      <c r="E140" s="22" t="inlineStr">
        <is>
          <t>Acessórios</t>
        </is>
      </c>
      <c r="F140" s="22" t="inlineStr">
        <is>
          <t>Teclado</t>
        </is>
      </c>
      <c r="G140" s="22" t="n">
        <v>1</v>
      </c>
      <c r="H140" s="24" t="n">
        <v>167.87</v>
      </c>
      <c r="I140" s="24" t="n">
        <v>167.87</v>
      </c>
      <c r="J140" s="22" t="inlineStr">
        <is>
          <t>Cartão de crédito</t>
        </is>
      </c>
    </row>
    <row r="141">
      <c r="A141" s="22" t="inlineStr">
        <is>
          <t>V0140</t>
        </is>
      </c>
      <c r="B141" s="23" t="n">
        <v>46277</v>
      </c>
      <c r="C141" s="22" t="inlineStr">
        <is>
          <t>Nordeste</t>
        </is>
      </c>
      <c r="D141" s="22" t="inlineStr">
        <is>
          <t>Diego Alves</t>
        </is>
      </c>
      <c r="E141" s="22" t="inlineStr">
        <is>
          <t>Telefonia</t>
        </is>
      </c>
      <c r="F141" s="22" t="inlineStr">
        <is>
          <t>Smartwatch</t>
        </is>
      </c>
      <c r="G141" s="22" t="n">
        <v>1</v>
      </c>
      <c r="H141" s="24" t="n">
        <v>645.96</v>
      </c>
      <c r="I141" s="24" t="n">
        <v>645.96</v>
      </c>
      <c r="J141" s="22" t="inlineStr">
        <is>
          <t>Cartão de débito</t>
        </is>
      </c>
    </row>
    <row r="142">
      <c r="A142" s="22" t="inlineStr">
        <is>
          <t>V0141</t>
        </is>
      </c>
      <c r="B142" s="23" t="n">
        <v>46027</v>
      </c>
      <c r="C142" s="22" t="inlineStr">
        <is>
          <t>Sul</t>
        </is>
      </c>
      <c r="D142" s="22" t="inlineStr">
        <is>
          <t>Ana Souza</t>
        </is>
      </c>
      <c r="E142" s="22" t="inlineStr">
        <is>
          <t>Informática</t>
        </is>
      </c>
      <c r="F142" s="22" t="inlineStr">
        <is>
          <t>Impressora</t>
        </is>
      </c>
      <c r="G142" s="22" t="n">
        <v>4</v>
      </c>
      <c r="H142" s="24" t="n">
        <v>802.17</v>
      </c>
      <c r="I142" s="24" t="n">
        <v>3208.68</v>
      </c>
      <c r="J142" s="22" t="inlineStr">
        <is>
          <t>Boleto</t>
        </is>
      </c>
    </row>
    <row r="143">
      <c r="A143" s="22" t="inlineStr">
        <is>
          <t>V0142</t>
        </is>
      </c>
      <c r="B143" s="23" t="n">
        <v>46199</v>
      </c>
      <c r="C143" s="22" t="inlineStr">
        <is>
          <t>Nordeste</t>
        </is>
      </c>
      <c r="D143" s="22" t="inlineStr">
        <is>
          <t>Diego Alves</t>
        </is>
      </c>
      <c r="E143" s="22" t="inlineStr">
        <is>
          <t>Telefonia</t>
        </is>
      </c>
      <c r="F143" s="22" t="inlineStr">
        <is>
          <t>Smartwatch</t>
        </is>
      </c>
      <c r="G143" s="22" t="n">
        <v>1</v>
      </c>
      <c r="H143" s="24" t="n">
        <v>698.05</v>
      </c>
      <c r="I143" s="24" t="n">
        <v>698.05</v>
      </c>
      <c r="J143" s="22" t="inlineStr">
        <is>
          <t>Cartão de débito</t>
        </is>
      </c>
    </row>
    <row r="144">
      <c r="A144" s="22" t="inlineStr">
        <is>
          <t>V0143</t>
        </is>
      </c>
      <c r="B144" s="23" t="n">
        <v>46124</v>
      </c>
      <c r="C144" s="22" t="inlineStr">
        <is>
          <t>Centro-Oeste</t>
        </is>
      </c>
      <c r="D144" s="22" t="inlineStr">
        <is>
          <t>Fernanda Costa</t>
        </is>
      </c>
      <c r="E144" s="22" t="inlineStr">
        <is>
          <t>Telefonia</t>
        </is>
      </c>
      <c r="F144" s="22" t="inlineStr">
        <is>
          <t>Tablet</t>
        </is>
      </c>
      <c r="G144" s="22" t="n">
        <v>3</v>
      </c>
      <c r="H144" s="24" t="n">
        <v>1265.04</v>
      </c>
      <c r="I144" s="24" t="n">
        <v>3795.12</v>
      </c>
      <c r="J144" s="22" t="inlineStr">
        <is>
          <t>Cartão de débito</t>
        </is>
      </c>
    </row>
    <row r="145">
      <c r="A145" s="22" t="inlineStr">
        <is>
          <t>V0144</t>
        </is>
      </c>
      <c r="B145" s="23" t="n">
        <v>46174</v>
      </c>
      <c r="C145" s="22" t="inlineStr">
        <is>
          <t>Centro-Oeste</t>
        </is>
      </c>
      <c r="D145" s="22" t="inlineStr">
        <is>
          <t>Carla Mendes</t>
        </is>
      </c>
      <c r="E145" s="22" t="inlineStr">
        <is>
          <t>Acessórios</t>
        </is>
      </c>
      <c r="F145" s="22" t="inlineStr">
        <is>
          <t>Headset</t>
        </is>
      </c>
      <c r="G145" s="22" t="n">
        <v>1</v>
      </c>
      <c r="H145" s="24" t="n">
        <v>252.67</v>
      </c>
      <c r="I145" s="24" t="n">
        <v>252.67</v>
      </c>
      <c r="J145" s="22" t="inlineStr">
        <is>
          <t>Pix</t>
        </is>
      </c>
    </row>
    <row r="146">
      <c r="A146" s="22" t="inlineStr">
        <is>
          <t>V0145</t>
        </is>
      </c>
      <c r="B146" s="23" t="n">
        <v>46312</v>
      </c>
      <c r="C146" s="22" t="inlineStr">
        <is>
          <t>Nordeste</t>
        </is>
      </c>
      <c r="D146" s="22" t="inlineStr">
        <is>
          <t>Bruno Lima</t>
        </is>
      </c>
      <c r="E146" s="22" t="inlineStr">
        <is>
          <t>Informática</t>
        </is>
      </c>
      <c r="F146" s="22" t="inlineStr">
        <is>
          <t>Notebook</t>
        </is>
      </c>
      <c r="G146" s="22" t="n">
        <v>4</v>
      </c>
      <c r="H146" s="24" t="n">
        <v>3325.53</v>
      </c>
      <c r="I146" s="24" t="n">
        <v>13302.12</v>
      </c>
      <c r="J146" s="22" t="inlineStr">
        <is>
          <t>Cartão de débito</t>
        </is>
      </c>
    </row>
    <row r="147">
      <c r="A147" s="22" t="inlineStr">
        <is>
          <t>V0146</t>
        </is>
      </c>
      <c r="B147" s="23" t="n">
        <v>46135</v>
      </c>
      <c r="C147" s="22" t="inlineStr">
        <is>
          <t>Sul</t>
        </is>
      </c>
      <c r="D147" s="22" t="inlineStr">
        <is>
          <t>Ana Souza</t>
        </is>
      </c>
      <c r="E147" s="22" t="inlineStr">
        <is>
          <t>Acessórios</t>
        </is>
      </c>
      <c r="F147" s="22" t="inlineStr">
        <is>
          <t>Mouse</t>
        </is>
      </c>
      <c r="G147" s="22" t="n">
        <v>2</v>
      </c>
      <c r="H147" s="24" t="n">
        <v>97.7</v>
      </c>
      <c r="I147" s="24" t="n">
        <v>195.4</v>
      </c>
      <c r="J147" s="22" t="inlineStr">
        <is>
          <t>Pix</t>
        </is>
      </c>
    </row>
    <row r="148">
      <c r="A148" s="22" t="inlineStr">
        <is>
          <t>V0147</t>
        </is>
      </c>
      <c r="B148" s="23" t="n">
        <v>46181</v>
      </c>
      <c r="C148" s="22" t="inlineStr">
        <is>
          <t>Sul</t>
        </is>
      </c>
      <c r="D148" s="22" t="inlineStr">
        <is>
          <t>Ana Souza</t>
        </is>
      </c>
      <c r="E148" s="22" t="inlineStr">
        <is>
          <t>Informática</t>
        </is>
      </c>
      <c r="F148" s="22" t="inlineStr">
        <is>
          <t>Impressora</t>
        </is>
      </c>
      <c r="G148" s="22" t="n">
        <v>1</v>
      </c>
      <c r="H148" s="24" t="n">
        <v>763.13</v>
      </c>
      <c r="I148" s="24" t="n">
        <v>763.13</v>
      </c>
      <c r="J148" s="22" t="inlineStr">
        <is>
          <t>Cartão de débito</t>
        </is>
      </c>
    </row>
    <row r="149">
      <c r="A149" s="22" t="inlineStr">
        <is>
          <t>V0148</t>
        </is>
      </c>
      <c r="B149" s="23" t="n">
        <v>46190</v>
      </c>
      <c r="C149" s="22" t="inlineStr">
        <is>
          <t>Norte</t>
        </is>
      </c>
      <c r="D149" s="22" t="inlineStr">
        <is>
          <t>Carla Mendes</t>
        </is>
      </c>
      <c r="E149" s="22" t="inlineStr">
        <is>
          <t>Telefonia</t>
        </is>
      </c>
      <c r="F149" s="22" t="inlineStr">
        <is>
          <t>Tablet</t>
        </is>
      </c>
      <c r="G149" s="22" t="n">
        <v>1</v>
      </c>
      <c r="H149" s="24" t="n">
        <v>1270.55</v>
      </c>
      <c r="I149" s="24" t="n">
        <v>1270.55</v>
      </c>
      <c r="J149" s="22" t="inlineStr">
        <is>
          <t>Cartão de débito</t>
        </is>
      </c>
    </row>
    <row r="150">
      <c r="A150" s="22" t="inlineStr">
        <is>
          <t>V0149</t>
        </is>
      </c>
      <c r="B150" s="23" t="n">
        <v>46107</v>
      </c>
      <c r="C150" s="22" t="inlineStr">
        <is>
          <t>Nordeste</t>
        </is>
      </c>
      <c r="D150" s="22" t="inlineStr">
        <is>
          <t>Carla Mendes</t>
        </is>
      </c>
      <c r="E150" s="22" t="inlineStr">
        <is>
          <t>Acessórios</t>
        </is>
      </c>
      <c r="F150" s="22" t="inlineStr">
        <is>
          <t>Headset</t>
        </is>
      </c>
      <c r="G150" s="22" t="n">
        <v>4</v>
      </c>
      <c r="H150" s="24" t="n">
        <v>257.06</v>
      </c>
      <c r="I150" s="24" t="n">
        <v>1028.24</v>
      </c>
      <c r="J150" s="22" t="inlineStr">
        <is>
          <t>Pix</t>
        </is>
      </c>
    </row>
    <row r="151">
      <c r="A151" s="22" t="inlineStr">
        <is>
          <t>V0150</t>
        </is>
      </c>
      <c r="B151" s="23" t="n">
        <v>46262</v>
      </c>
      <c r="C151" s="22" t="inlineStr">
        <is>
          <t>Centro-Oeste</t>
        </is>
      </c>
      <c r="D151" s="22" t="inlineStr">
        <is>
          <t>Fernanda Costa</t>
        </is>
      </c>
      <c r="E151" s="22" t="inlineStr">
        <is>
          <t>Informática</t>
        </is>
      </c>
      <c r="F151" s="22" t="inlineStr">
        <is>
          <t>Monitor</t>
        </is>
      </c>
      <c r="G151" s="22" t="n">
        <v>1</v>
      </c>
      <c r="H151" s="24" t="n">
        <v>1020.91</v>
      </c>
      <c r="I151" s="24" t="n">
        <v>1020.91</v>
      </c>
      <c r="J151" s="22" t="inlineStr">
        <is>
          <t>Cartão de débito</t>
        </is>
      </c>
    </row>
    <row r="152">
      <c r="A152" s="22" t="inlineStr">
        <is>
          <t>V0151</t>
        </is>
      </c>
      <c r="B152" s="23" t="n">
        <v>46069</v>
      </c>
      <c r="C152" s="22" t="inlineStr">
        <is>
          <t>Centro-Oeste</t>
        </is>
      </c>
      <c r="D152" s="22" t="inlineStr">
        <is>
          <t>Carla Mendes</t>
        </is>
      </c>
      <c r="E152" s="22" t="inlineStr">
        <is>
          <t>Telefonia</t>
        </is>
      </c>
      <c r="F152" s="22" t="inlineStr">
        <is>
          <t>Tablet</t>
        </is>
      </c>
      <c r="G152" s="22" t="n">
        <v>1</v>
      </c>
      <c r="H152" s="24" t="n">
        <v>1357.9</v>
      </c>
      <c r="I152" s="24" t="n">
        <v>1357.9</v>
      </c>
      <c r="J152" s="22" t="inlineStr">
        <is>
          <t>Cartão de débito</t>
        </is>
      </c>
    </row>
    <row r="153">
      <c r="A153" s="22" t="inlineStr">
        <is>
          <t>V0152</t>
        </is>
      </c>
      <c r="B153" s="23" t="n">
        <v>46218</v>
      </c>
      <c r="C153" s="22" t="inlineStr">
        <is>
          <t>Sudeste</t>
        </is>
      </c>
      <c r="D153" s="22" t="inlineStr">
        <is>
          <t>Fernanda Costa</t>
        </is>
      </c>
      <c r="E153" s="22" t="inlineStr">
        <is>
          <t>Telefonia</t>
        </is>
      </c>
      <c r="F153" s="22" t="inlineStr">
        <is>
          <t>Smartphone</t>
        </is>
      </c>
      <c r="G153" s="22" t="n">
        <v>1</v>
      </c>
      <c r="H153" s="24" t="n">
        <v>2010.56</v>
      </c>
      <c r="I153" s="24" t="n">
        <v>2010.56</v>
      </c>
      <c r="J153" s="22" t="inlineStr">
        <is>
          <t>Cartão de débito</t>
        </is>
      </c>
    </row>
    <row r="154">
      <c r="A154" s="22" t="inlineStr">
        <is>
          <t>V0153</t>
        </is>
      </c>
      <c r="B154" s="23" t="n">
        <v>46136</v>
      </c>
      <c r="C154" s="22" t="inlineStr">
        <is>
          <t>Nordeste</t>
        </is>
      </c>
      <c r="D154" s="22" t="inlineStr">
        <is>
          <t>Diego Alves</t>
        </is>
      </c>
      <c r="E154" s="22" t="inlineStr">
        <is>
          <t>Informática</t>
        </is>
      </c>
      <c r="F154" s="22" t="inlineStr">
        <is>
          <t>Monitor</t>
        </is>
      </c>
      <c r="G154" s="22" t="n">
        <v>2</v>
      </c>
      <c r="H154" s="24" t="n">
        <v>944.5700000000001</v>
      </c>
      <c r="I154" s="24" t="n">
        <v>1889.14</v>
      </c>
      <c r="J154" s="22" t="inlineStr">
        <is>
          <t>Pix</t>
        </is>
      </c>
    </row>
    <row r="155">
      <c r="A155" s="22" t="inlineStr">
        <is>
          <t>V0154</t>
        </is>
      </c>
      <c r="B155" s="23" t="n">
        <v>46094</v>
      </c>
      <c r="C155" s="22" t="inlineStr">
        <is>
          <t>Centro-Oeste</t>
        </is>
      </c>
      <c r="D155" s="22" t="inlineStr">
        <is>
          <t>Ana Souza</t>
        </is>
      </c>
      <c r="E155" s="22" t="inlineStr">
        <is>
          <t>Informática</t>
        </is>
      </c>
      <c r="F155" s="22" t="inlineStr">
        <is>
          <t>Notebook</t>
        </is>
      </c>
      <c r="G155" s="22" t="n">
        <v>4</v>
      </c>
      <c r="H155" s="24" t="n">
        <v>3099.83</v>
      </c>
      <c r="I155" s="24" t="n">
        <v>12399.32</v>
      </c>
      <c r="J155" s="22" t="inlineStr">
        <is>
          <t>Pix</t>
        </is>
      </c>
    </row>
    <row r="156">
      <c r="A156" s="22" t="inlineStr">
        <is>
          <t>V0155</t>
        </is>
      </c>
      <c r="B156" s="23" t="n">
        <v>46143</v>
      </c>
      <c r="C156" s="22" t="inlineStr">
        <is>
          <t>Norte</t>
        </is>
      </c>
      <c r="D156" s="22" t="inlineStr">
        <is>
          <t>Diego Alves</t>
        </is>
      </c>
      <c r="E156" s="22" t="inlineStr">
        <is>
          <t>Acessórios</t>
        </is>
      </c>
      <c r="F156" s="22" t="inlineStr">
        <is>
          <t>Webcam</t>
        </is>
      </c>
      <c r="G156" s="22" t="n">
        <v>1</v>
      </c>
      <c r="H156" s="24" t="n">
        <v>218.37</v>
      </c>
      <c r="I156" s="24" t="n">
        <v>218.37</v>
      </c>
      <c r="J156" s="22" t="inlineStr">
        <is>
          <t>Cartão de crédito</t>
        </is>
      </c>
    </row>
    <row r="157">
      <c r="A157" s="22" t="inlineStr">
        <is>
          <t>V0156</t>
        </is>
      </c>
      <c r="B157" s="23" t="n">
        <v>46235</v>
      </c>
      <c r="C157" s="22" t="inlineStr">
        <is>
          <t>Nordeste</t>
        </is>
      </c>
      <c r="D157" s="22" t="inlineStr">
        <is>
          <t>Ana Souza</t>
        </is>
      </c>
      <c r="E157" s="22" t="inlineStr">
        <is>
          <t>Informática</t>
        </is>
      </c>
      <c r="F157" s="22" t="inlineStr">
        <is>
          <t>Monitor</t>
        </is>
      </c>
      <c r="G157" s="22" t="n">
        <v>3</v>
      </c>
      <c r="H157" s="24" t="n">
        <v>967.58</v>
      </c>
      <c r="I157" s="24" t="n">
        <v>2902.74</v>
      </c>
      <c r="J157" s="22" t="inlineStr">
        <is>
          <t>Cartão de débito</t>
        </is>
      </c>
    </row>
    <row r="158">
      <c r="A158" s="22" t="inlineStr">
        <is>
          <t>V0157</t>
        </is>
      </c>
      <c r="B158" s="23" t="n">
        <v>46134</v>
      </c>
      <c r="C158" s="22" t="inlineStr">
        <is>
          <t>Nordeste</t>
        </is>
      </c>
      <c r="D158" s="22" t="inlineStr">
        <is>
          <t>Ana Souza</t>
        </is>
      </c>
      <c r="E158" s="22" t="inlineStr">
        <is>
          <t>Informática</t>
        </is>
      </c>
      <c r="F158" s="22" t="inlineStr">
        <is>
          <t>Impressora</t>
        </is>
      </c>
      <c r="G158" s="22" t="n">
        <v>2</v>
      </c>
      <c r="H158" s="24" t="n">
        <v>747.0700000000001</v>
      </c>
      <c r="I158" s="24" t="n">
        <v>1494.14</v>
      </c>
      <c r="J158" s="22" t="inlineStr">
        <is>
          <t>Cartão de débito</t>
        </is>
      </c>
    </row>
    <row r="159">
      <c r="A159" s="22" t="inlineStr">
        <is>
          <t>V0158</t>
        </is>
      </c>
      <c r="B159" s="23" t="n">
        <v>46301</v>
      </c>
      <c r="C159" s="22" t="inlineStr">
        <is>
          <t>Sudeste</t>
        </is>
      </c>
      <c r="D159" s="22" t="inlineStr">
        <is>
          <t>Diego Alves</t>
        </is>
      </c>
      <c r="E159" s="22" t="inlineStr">
        <is>
          <t>Telefonia</t>
        </is>
      </c>
      <c r="F159" s="22" t="inlineStr">
        <is>
          <t>Smartphone</t>
        </is>
      </c>
      <c r="G159" s="22" t="n">
        <v>1</v>
      </c>
      <c r="H159" s="24" t="n">
        <v>2024.7</v>
      </c>
      <c r="I159" s="24" t="n">
        <v>2024.7</v>
      </c>
      <c r="J159" s="22" t="inlineStr">
        <is>
          <t>Pix</t>
        </is>
      </c>
    </row>
    <row r="160">
      <c r="A160" s="22" t="inlineStr">
        <is>
          <t>V0159</t>
        </is>
      </c>
      <c r="B160" s="23" t="n">
        <v>46131</v>
      </c>
      <c r="C160" s="22" t="inlineStr">
        <is>
          <t>Nordeste</t>
        </is>
      </c>
      <c r="D160" s="22" t="inlineStr">
        <is>
          <t>Bruno Lima</t>
        </is>
      </c>
      <c r="E160" s="22" t="inlineStr">
        <is>
          <t>Telefonia</t>
        </is>
      </c>
      <c r="F160" s="22" t="inlineStr">
        <is>
          <t>Smartwatch</t>
        </is>
      </c>
      <c r="G160" s="22" t="n">
        <v>5</v>
      </c>
      <c r="H160" s="24" t="n">
        <v>603.26</v>
      </c>
      <c r="I160" s="24" t="n">
        <v>3016.3</v>
      </c>
      <c r="J160" s="22" t="inlineStr">
        <is>
          <t>Cartão de crédito</t>
        </is>
      </c>
    </row>
    <row r="161">
      <c r="A161" s="22" t="inlineStr">
        <is>
          <t>V0160</t>
        </is>
      </c>
      <c r="B161" s="23" t="n">
        <v>46312</v>
      </c>
      <c r="C161" s="22" t="inlineStr">
        <is>
          <t>Sul</t>
        </is>
      </c>
      <c r="D161" s="22" t="inlineStr">
        <is>
          <t>Fernanda Costa</t>
        </is>
      </c>
      <c r="E161" s="22" t="inlineStr">
        <is>
          <t>Acessórios</t>
        </is>
      </c>
      <c r="F161" s="22" t="inlineStr">
        <is>
          <t>Mouse</t>
        </is>
      </c>
      <c r="G161" s="22" t="n">
        <v>1</v>
      </c>
      <c r="H161" s="24" t="n">
        <v>99.03</v>
      </c>
      <c r="I161" s="24" t="n">
        <v>99.03</v>
      </c>
      <c r="J161" s="22" t="inlineStr">
        <is>
          <t>Cartão de crédito</t>
        </is>
      </c>
    </row>
    <row r="162">
      <c r="A162" s="22" t="inlineStr">
        <is>
          <t>V0161</t>
        </is>
      </c>
      <c r="B162" s="23" t="n">
        <v>46142</v>
      </c>
      <c r="C162" s="22" t="inlineStr">
        <is>
          <t>Norte</t>
        </is>
      </c>
      <c r="D162" s="22" t="inlineStr">
        <is>
          <t>Ana Souza</t>
        </is>
      </c>
      <c r="E162" s="22" t="inlineStr">
        <is>
          <t>Telefonia</t>
        </is>
      </c>
      <c r="F162" s="22" t="inlineStr">
        <is>
          <t>Smartphone</t>
        </is>
      </c>
      <c r="G162" s="22" t="n">
        <v>3</v>
      </c>
      <c r="H162" s="24" t="n">
        <v>2196.98</v>
      </c>
      <c r="I162" s="24" t="n">
        <v>6590.94</v>
      </c>
      <c r="J162" s="22" t="inlineStr">
        <is>
          <t>Cartão de débito</t>
        </is>
      </c>
    </row>
    <row r="163">
      <c r="A163" s="22" t="inlineStr">
        <is>
          <t>V0162</t>
        </is>
      </c>
      <c r="B163" s="23" t="n">
        <v>46097</v>
      </c>
      <c r="C163" s="22" t="inlineStr">
        <is>
          <t>Sudeste</t>
        </is>
      </c>
      <c r="D163" s="22" t="inlineStr">
        <is>
          <t>Ana Souza</t>
        </is>
      </c>
      <c r="E163" s="22" t="inlineStr">
        <is>
          <t>Acessórios</t>
        </is>
      </c>
      <c r="F163" s="22" t="inlineStr">
        <is>
          <t>Teclado</t>
        </is>
      </c>
      <c r="G163" s="22" t="n">
        <v>2</v>
      </c>
      <c r="H163" s="24" t="n">
        <v>188.6</v>
      </c>
      <c r="I163" s="24" t="n">
        <v>377.2</v>
      </c>
      <c r="J163" s="22" t="inlineStr">
        <is>
          <t>Cartão de crédito</t>
        </is>
      </c>
    </row>
    <row r="164">
      <c r="A164" s="22" t="inlineStr">
        <is>
          <t>V0163</t>
        </is>
      </c>
      <c r="B164" s="23" t="n">
        <v>46030</v>
      </c>
      <c r="C164" s="22" t="inlineStr">
        <is>
          <t>Nordeste</t>
        </is>
      </c>
      <c r="D164" s="22" t="inlineStr">
        <is>
          <t>Ana Souza</t>
        </is>
      </c>
      <c r="E164" s="22" t="inlineStr">
        <is>
          <t>Telefonia</t>
        </is>
      </c>
      <c r="F164" s="22" t="inlineStr">
        <is>
          <t>Smartphone</t>
        </is>
      </c>
      <c r="G164" s="22" t="n">
        <v>3</v>
      </c>
      <c r="H164" s="24" t="n">
        <v>2011.95</v>
      </c>
      <c r="I164" s="24" t="n">
        <v>6035.85</v>
      </c>
      <c r="J164" s="22" t="inlineStr">
        <is>
          <t>Cartão de crédito</t>
        </is>
      </c>
    </row>
    <row r="165">
      <c r="A165" s="22" t="inlineStr">
        <is>
          <t>V0164</t>
        </is>
      </c>
      <c r="B165" s="23" t="n">
        <v>46158</v>
      </c>
      <c r="C165" s="22" t="inlineStr">
        <is>
          <t>Sudeste</t>
        </is>
      </c>
      <c r="D165" s="22" t="inlineStr">
        <is>
          <t>Ana Souza</t>
        </is>
      </c>
      <c r="E165" s="22" t="inlineStr">
        <is>
          <t>Informática</t>
        </is>
      </c>
      <c r="F165" s="22" t="inlineStr">
        <is>
          <t>Notebook</t>
        </is>
      </c>
      <c r="G165" s="22" t="n">
        <v>1</v>
      </c>
      <c r="H165" s="24" t="n">
        <v>3159.53</v>
      </c>
      <c r="I165" s="24" t="n">
        <v>3159.53</v>
      </c>
      <c r="J165" s="22" t="inlineStr">
        <is>
          <t>Boleto</t>
        </is>
      </c>
    </row>
    <row r="166">
      <c r="A166" s="22" t="inlineStr">
        <is>
          <t>V0165</t>
        </is>
      </c>
      <c r="B166" s="23" t="n">
        <v>46252</v>
      </c>
      <c r="C166" s="22" t="inlineStr">
        <is>
          <t>Norte</t>
        </is>
      </c>
      <c r="D166" s="22" t="inlineStr">
        <is>
          <t>Bruno Lima</t>
        </is>
      </c>
      <c r="E166" s="22" t="inlineStr">
        <is>
          <t>Telefonia</t>
        </is>
      </c>
      <c r="F166" s="22" t="inlineStr">
        <is>
          <t>Smartphone</t>
        </is>
      </c>
      <c r="G166" s="22" t="n">
        <v>2</v>
      </c>
      <c r="H166" s="24" t="n">
        <v>1968.64</v>
      </c>
      <c r="I166" s="24" t="n">
        <v>3937.28</v>
      </c>
      <c r="J166" s="22" t="inlineStr">
        <is>
          <t>Pix</t>
        </is>
      </c>
    </row>
    <row r="167">
      <c r="A167" s="22" t="inlineStr">
        <is>
          <t>V0166</t>
        </is>
      </c>
      <c r="B167" s="23" t="n">
        <v>46289</v>
      </c>
      <c r="C167" s="22" t="inlineStr">
        <is>
          <t>Sudeste</t>
        </is>
      </c>
      <c r="D167" s="22" t="inlineStr">
        <is>
          <t>Diego Alves</t>
        </is>
      </c>
      <c r="E167" s="22" t="inlineStr">
        <is>
          <t>Acessórios</t>
        </is>
      </c>
      <c r="F167" s="22" t="inlineStr">
        <is>
          <t>Headset</t>
        </is>
      </c>
      <c r="G167" s="22" t="n">
        <v>2</v>
      </c>
      <c r="H167" s="24" t="n">
        <v>257.82</v>
      </c>
      <c r="I167" s="24" t="n">
        <v>515.64</v>
      </c>
      <c r="J167" s="22" t="inlineStr">
        <is>
          <t>Boleto</t>
        </is>
      </c>
    </row>
    <row r="168">
      <c r="A168" s="22" t="inlineStr">
        <is>
          <t>V0167</t>
        </is>
      </c>
      <c r="B168" s="23" t="n">
        <v>46241</v>
      </c>
      <c r="C168" s="22" t="inlineStr">
        <is>
          <t>Sudeste</t>
        </is>
      </c>
      <c r="D168" s="22" t="inlineStr">
        <is>
          <t>Ana Souza</t>
        </is>
      </c>
      <c r="E168" s="22" t="inlineStr">
        <is>
          <t>Informática</t>
        </is>
      </c>
      <c r="F168" s="22" t="inlineStr">
        <is>
          <t>Monitor</t>
        </is>
      </c>
      <c r="G168" s="22" t="n">
        <v>2</v>
      </c>
      <c r="H168" s="24" t="n">
        <v>1012.27</v>
      </c>
      <c r="I168" s="24" t="n">
        <v>2024.54</v>
      </c>
      <c r="J168" s="22" t="inlineStr">
        <is>
          <t>Cartão de débito</t>
        </is>
      </c>
    </row>
    <row r="169">
      <c r="A169" s="22" t="inlineStr">
        <is>
          <t>V0168</t>
        </is>
      </c>
      <c r="B169" s="23" t="n">
        <v>46098</v>
      </c>
      <c r="C169" s="22" t="inlineStr">
        <is>
          <t>Norte</t>
        </is>
      </c>
      <c r="D169" s="22" t="inlineStr">
        <is>
          <t>Fernanda Costa</t>
        </is>
      </c>
      <c r="E169" s="22" t="inlineStr">
        <is>
          <t>Informática</t>
        </is>
      </c>
      <c r="F169" s="22" t="inlineStr">
        <is>
          <t>Monitor</t>
        </is>
      </c>
      <c r="G169" s="22" t="n">
        <v>1</v>
      </c>
      <c r="H169" s="24" t="n">
        <v>968.9</v>
      </c>
      <c r="I169" s="24" t="n">
        <v>968.9</v>
      </c>
      <c r="J169" s="22" t="inlineStr">
        <is>
          <t>Cartão de débito</t>
        </is>
      </c>
    </row>
    <row r="170">
      <c r="A170" s="22" t="inlineStr">
        <is>
          <t>V0169</t>
        </is>
      </c>
      <c r="B170" s="23" t="n">
        <v>46218</v>
      </c>
      <c r="C170" s="22" t="inlineStr">
        <is>
          <t>Norte</t>
        </is>
      </c>
      <c r="D170" s="22" t="inlineStr">
        <is>
          <t>Diego Alves</t>
        </is>
      </c>
      <c r="E170" s="22" t="inlineStr">
        <is>
          <t>Telefonia</t>
        </is>
      </c>
      <c r="F170" s="22" t="inlineStr">
        <is>
          <t>Smartwatch</t>
        </is>
      </c>
      <c r="G170" s="22" t="n">
        <v>2</v>
      </c>
      <c r="H170" s="24" t="n">
        <v>645.1900000000001</v>
      </c>
      <c r="I170" s="24" t="n">
        <v>1290.38</v>
      </c>
      <c r="J170" s="22" t="inlineStr">
        <is>
          <t>Pix</t>
        </is>
      </c>
    </row>
    <row r="171">
      <c r="A171" s="22" t="inlineStr">
        <is>
          <t>V0170</t>
        </is>
      </c>
      <c r="B171" s="23" t="n">
        <v>46081</v>
      </c>
      <c r="C171" s="22" t="inlineStr">
        <is>
          <t>Centro-Oeste</t>
        </is>
      </c>
      <c r="D171" s="22" t="inlineStr">
        <is>
          <t>Bruno Lima</t>
        </is>
      </c>
      <c r="E171" s="22" t="inlineStr">
        <is>
          <t>Acessórios</t>
        </is>
      </c>
      <c r="F171" s="22" t="inlineStr">
        <is>
          <t>Webcam</t>
        </is>
      </c>
      <c r="G171" s="22" t="n">
        <v>3</v>
      </c>
      <c r="H171" s="24" t="n">
        <v>209.97</v>
      </c>
      <c r="I171" s="24" t="n">
        <v>629.91</v>
      </c>
      <c r="J171" s="22" t="inlineStr">
        <is>
          <t>Boleto</t>
        </is>
      </c>
    </row>
    <row r="172">
      <c r="A172" s="22" t="inlineStr">
        <is>
          <t>V0171</t>
        </is>
      </c>
      <c r="B172" s="23" t="n">
        <v>46196</v>
      </c>
      <c r="C172" s="22" t="inlineStr">
        <is>
          <t>Nordeste</t>
        </is>
      </c>
      <c r="D172" s="22" t="inlineStr">
        <is>
          <t>Diego Alves</t>
        </is>
      </c>
      <c r="E172" s="22" t="inlineStr">
        <is>
          <t>Informática</t>
        </is>
      </c>
      <c r="F172" s="22" t="inlineStr">
        <is>
          <t>Impressora</t>
        </is>
      </c>
      <c r="G172" s="22" t="n">
        <v>1</v>
      </c>
      <c r="H172" s="24" t="n">
        <v>808.66</v>
      </c>
      <c r="I172" s="24" t="n">
        <v>808.66</v>
      </c>
      <c r="J172" s="22" t="inlineStr">
        <is>
          <t>Cartão de débito</t>
        </is>
      </c>
    </row>
    <row r="173">
      <c r="A173" s="22" t="inlineStr">
        <is>
          <t>V0172</t>
        </is>
      </c>
      <c r="B173" s="23" t="n">
        <v>46153</v>
      </c>
      <c r="C173" s="22" t="inlineStr">
        <is>
          <t>Centro-Oeste</t>
        </is>
      </c>
      <c r="D173" s="22" t="inlineStr">
        <is>
          <t>Ana Souza</t>
        </is>
      </c>
      <c r="E173" s="22" t="inlineStr">
        <is>
          <t>Telefonia</t>
        </is>
      </c>
      <c r="F173" s="22" t="inlineStr">
        <is>
          <t>Smartphone</t>
        </is>
      </c>
      <c r="G173" s="22" t="n">
        <v>4</v>
      </c>
      <c r="H173" s="24" t="n">
        <v>2162.77</v>
      </c>
      <c r="I173" s="24" t="n">
        <v>8651.08</v>
      </c>
      <c r="J173" s="22" t="inlineStr">
        <is>
          <t>Pix</t>
        </is>
      </c>
    </row>
    <row r="174">
      <c r="A174" s="22" t="inlineStr">
        <is>
          <t>V0173</t>
        </is>
      </c>
      <c r="B174" s="23" t="n">
        <v>46066</v>
      </c>
      <c r="C174" s="22" t="inlineStr">
        <is>
          <t>Nordeste</t>
        </is>
      </c>
      <c r="D174" s="22" t="inlineStr">
        <is>
          <t>Bruno Lima</t>
        </is>
      </c>
      <c r="E174" s="22" t="inlineStr">
        <is>
          <t>Informática</t>
        </is>
      </c>
      <c r="F174" s="22" t="inlineStr">
        <is>
          <t>Monitor</t>
        </is>
      </c>
      <c r="G174" s="22" t="n">
        <v>2</v>
      </c>
      <c r="H174" s="24" t="n">
        <v>987.1799999999999</v>
      </c>
      <c r="I174" s="24" t="n">
        <v>1974.36</v>
      </c>
      <c r="J174" s="22" t="inlineStr">
        <is>
          <t>Pix</t>
        </is>
      </c>
    </row>
    <row r="175">
      <c r="A175" s="22" t="inlineStr">
        <is>
          <t>V0174</t>
        </is>
      </c>
      <c r="B175" s="23" t="n">
        <v>46310</v>
      </c>
      <c r="C175" s="22" t="inlineStr">
        <is>
          <t>Nordeste</t>
        </is>
      </c>
      <c r="D175" s="22" t="inlineStr">
        <is>
          <t>Diego Alves</t>
        </is>
      </c>
      <c r="E175" s="22" t="inlineStr">
        <is>
          <t>Acessórios</t>
        </is>
      </c>
      <c r="F175" s="22" t="inlineStr">
        <is>
          <t>Webcam</t>
        </is>
      </c>
      <c r="G175" s="22" t="n">
        <v>1</v>
      </c>
      <c r="H175" s="24" t="n">
        <v>206.7</v>
      </c>
      <c r="I175" s="24" t="n">
        <v>206.7</v>
      </c>
      <c r="J175" s="22" t="inlineStr">
        <is>
          <t>Pix</t>
        </is>
      </c>
    </row>
    <row r="176">
      <c r="A176" s="22" t="inlineStr">
        <is>
          <t>V0175</t>
        </is>
      </c>
      <c r="B176" s="23" t="n">
        <v>46170</v>
      </c>
      <c r="C176" s="22" t="inlineStr">
        <is>
          <t>Norte</t>
        </is>
      </c>
      <c r="D176" s="22" t="inlineStr">
        <is>
          <t>Bruno Lima</t>
        </is>
      </c>
      <c r="E176" s="22" t="inlineStr">
        <is>
          <t>Telefonia</t>
        </is>
      </c>
      <c r="F176" s="22" t="inlineStr">
        <is>
          <t>Smartwatch</t>
        </is>
      </c>
      <c r="G176" s="22" t="n">
        <v>1</v>
      </c>
      <c r="H176" s="24" t="n">
        <v>608.77</v>
      </c>
      <c r="I176" s="24" t="n">
        <v>608.77</v>
      </c>
      <c r="J176" s="22" t="inlineStr">
        <is>
          <t>Cartão de crédito</t>
        </is>
      </c>
    </row>
    <row r="177">
      <c r="A177" s="22" t="inlineStr">
        <is>
          <t>V0176</t>
        </is>
      </c>
      <c r="B177" s="23" t="n">
        <v>46269</v>
      </c>
      <c r="C177" s="22" t="inlineStr">
        <is>
          <t>Norte</t>
        </is>
      </c>
      <c r="D177" s="22" t="inlineStr">
        <is>
          <t>Carla Mendes</t>
        </is>
      </c>
      <c r="E177" s="22" t="inlineStr">
        <is>
          <t>Acessórios</t>
        </is>
      </c>
      <c r="F177" s="22" t="inlineStr">
        <is>
          <t>Mouse</t>
        </is>
      </c>
      <c r="G177" s="22" t="n">
        <v>3</v>
      </c>
      <c r="H177" s="24" t="n">
        <v>92.72</v>
      </c>
      <c r="I177" s="24" t="n">
        <v>278.16</v>
      </c>
      <c r="J177" s="22" t="inlineStr">
        <is>
          <t>Pix</t>
        </is>
      </c>
    </row>
    <row r="178">
      <c r="A178" s="22" t="inlineStr">
        <is>
          <t>V0177</t>
        </is>
      </c>
      <c r="B178" s="23" t="n">
        <v>46165</v>
      </c>
      <c r="C178" s="22" t="inlineStr">
        <is>
          <t>Norte</t>
        </is>
      </c>
      <c r="D178" s="22" t="inlineStr">
        <is>
          <t>Fernanda Costa</t>
        </is>
      </c>
      <c r="E178" s="22" t="inlineStr">
        <is>
          <t>Telefonia</t>
        </is>
      </c>
      <c r="F178" s="22" t="inlineStr">
        <is>
          <t>Smartwatch</t>
        </is>
      </c>
      <c r="G178" s="22" t="n">
        <v>1</v>
      </c>
      <c r="H178" s="24" t="n">
        <v>642.63</v>
      </c>
      <c r="I178" s="24" t="n">
        <v>642.63</v>
      </c>
      <c r="J178" s="22" t="inlineStr">
        <is>
          <t>Pix</t>
        </is>
      </c>
    </row>
    <row r="179">
      <c r="A179" s="22" t="inlineStr">
        <is>
          <t>V0178</t>
        </is>
      </c>
      <c r="B179" s="23" t="n">
        <v>46159</v>
      </c>
      <c r="C179" s="22" t="inlineStr">
        <is>
          <t>Nordeste</t>
        </is>
      </c>
      <c r="D179" s="22" t="inlineStr">
        <is>
          <t>Carla Mendes</t>
        </is>
      </c>
      <c r="E179" s="22" t="inlineStr">
        <is>
          <t>Informática</t>
        </is>
      </c>
      <c r="F179" s="22" t="inlineStr">
        <is>
          <t>Notebook</t>
        </is>
      </c>
      <c r="G179" s="22" t="n">
        <v>1</v>
      </c>
      <c r="H179" s="24" t="n">
        <v>3303.78</v>
      </c>
      <c r="I179" s="24" t="n">
        <v>3303.78</v>
      </c>
      <c r="J179" s="22" t="inlineStr">
        <is>
          <t>Cartão de débito</t>
        </is>
      </c>
    </row>
    <row r="180">
      <c r="A180" s="22" t="inlineStr">
        <is>
          <t>V0179</t>
        </is>
      </c>
      <c r="B180" s="23" t="n">
        <v>46026</v>
      </c>
      <c r="C180" s="22" t="inlineStr">
        <is>
          <t>Centro-Oeste</t>
        </is>
      </c>
      <c r="D180" s="22" t="inlineStr">
        <is>
          <t>Ana Souza</t>
        </is>
      </c>
      <c r="E180" s="22" t="inlineStr">
        <is>
          <t>Acessórios</t>
        </is>
      </c>
      <c r="F180" s="22" t="inlineStr">
        <is>
          <t>Teclado</t>
        </is>
      </c>
      <c r="G180" s="22" t="n">
        <v>3</v>
      </c>
      <c r="H180" s="24" t="n">
        <v>181.91</v>
      </c>
      <c r="I180" s="24" t="n">
        <v>545.73</v>
      </c>
      <c r="J180" s="22" t="inlineStr">
        <is>
          <t>Cartão de crédito</t>
        </is>
      </c>
    </row>
    <row r="181">
      <c r="A181" s="22" t="inlineStr">
        <is>
          <t>V0180</t>
        </is>
      </c>
      <c r="B181" s="23" t="n">
        <v>46038</v>
      </c>
      <c r="C181" s="22" t="inlineStr">
        <is>
          <t>Centro-Oeste</t>
        </is>
      </c>
      <c r="D181" s="22" t="inlineStr">
        <is>
          <t>Diego Alves</t>
        </is>
      </c>
      <c r="E181" s="22" t="inlineStr">
        <is>
          <t>Informática</t>
        </is>
      </c>
      <c r="F181" s="22" t="inlineStr">
        <is>
          <t>Monitor</t>
        </is>
      </c>
      <c r="G181" s="22" t="n">
        <v>3</v>
      </c>
      <c r="H181" s="24" t="n">
        <v>906.7</v>
      </c>
      <c r="I181" s="24" t="n">
        <v>2720.1</v>
      </c>
      <c r="J181" s="22" t="inlineStr">
        <is>
          <t>Cartão de débito</t>
        </is>
      </c>
    </row>
    <row r="182">
      <c r="A182" s="22" t="inlineStr">
        <is>
          <t>V0181</t>
        </is>
      </c>
      <c r="B182" s="23" t="n">
        <v>46103</v>
      </c>
      <c r="C182" s="22" t="inlineStr">
        <is>
          <t>Norte</t>
        </is>
      </c>
      <c r="D182" s="22" t="inlineStr">
        <is>
          <t>Fernanda Costa</t>
        </is>
      </c>
      <c r="E182" s="22" t="inlineStr">
        <is>
          <t>Telefonia</t>
        </is>
      </c>
      <c r="F182" s="22" t="inlineStr">
        <is>
          <t>Smartphone</t>
        </is>
      </c>
      <c r="G182" s="22" t="n">
        <v>1</v>
      </c>
      <c r="H182" s="24" t="n">
        <v>2040.99</v>
      </c>
      <c r="I182" s="24" t="n">
        <v>2040.99</v>
      </c>
      <c r="J182" s="22" t="inlineStr">
        <is>
          <t>Pix</t>
        </is>
      </c>
    </row>
    <row r="183">
      <c r="A183" s="22" t="inlineStr">
        <is>
          <t>V0182</t>
        </is>
      </c>
      <c r="B183" s="23" t="n">
        <v>46049</v>
      </c>
      <c r="C183" s="22" t="inlineStr">
        <is>
          <t>Sudeste</t>
        </is>
      </c>
      <c r="D183" s="22" t="inlineStr">
        <is>
          <t>Carla Mendes</t>
        </is>
      </c>
      <c r="E183" s="22" t="inlineStr">
        <is>
          <t>Acessórios</t>
        </is>
      </c>
      <c r="F183" s="22" t="inlineStr">
        <is>
          <t>Teclado</t>
        </is>
      </c>
      <c r="G183" s="22" t="n">
        <v>1</v>
      </c>
      <c r="H183" s="24" t="n">
        <v>183.39</v>
      </c>
      <c r="I183" s="24" t="n">
        <v>183.39</v>
      </c>
      <c r="J183" s="22" t="inlineStr">
        <is>
          <t>Boleto</t>
        </is>
      </c>
    </row>
    <row r="184">
      <c r="A184" s="22" t="inlineStr">
        <is>
          <t>V0183</t>
        </is>
      </c>
      <c r="B184" s="23" t="n">
        <v>46240</v>
      </c>
      <c r="C184" s="22" t="inlineStr">
        <is>
          <t>Sul</t>
        </is>
      </c>
      <c r="D184" s="22" t="inlineStr">
        <is>
          <t>Fernanda Costa</t>
        </is>
      </c>
      <c r="E184" s="22" t="inlineStr">
        <is>
          <t>Informática</t>
        </is>
      </c>
      <c r="F184" s="22" t="inlineStr">
        <is>
          <t>Impressora</t>
        </is>
      </c>
      <c r="G184" s="22" t="n">
        <v>2</v>
      </c>
      <c r="H184" s="24" t="n">
        <v>769.29</v>
      </c>
      <c r="I184" s="24" t="n">
        <v>1538.58</v>
      </c>
      <c r="J184" s="22" t="inlineStr">
        <is>
          <t>Pix</t>
        </is>
      </c>
    </row>
    <row r="185">
      <c r="A185" s="22" t="inlineStr">
        <is>
          <t>V0184</t>
        </is>
      </c>
      <c r="B185" s="23" t="n">
        <v>46199</v>
      </c>
      <c r="C185" s="22" t="inlineStr">
        <is>
          <t>Norte</t>
        </is>
      </c>
      <c r="D185" s="22" t="inlineStr">
        <is>
          <t>Diego Alves</t>
        </is>
      </c>
      <c r="E185" s="22" t="inlineStr">
        <is>
          <t>Telefonia</t>
        </is>
      </c>
      <c r="F185" s="22" t="inlineStr">
        <is>
          <t>Tablet</t>
        </is>
      </c>
      <c r="G185" s="22" t="n">
        <v>1</v>
      </c>
      <c r="H185" s="24" t="n">
        <v>1388.5</v>
      </c>
      <c r="I185" s="24" t="n">
        <v>1388.5</v>
      </c>
      <c r="J185" s="22" t="inlineStr">
        <is>
          <t>Cartão de débito</t>
        </is>
      </c>
    </row>
    <row r="186">
      <c r="A186" s="22" t="inlineStr">
        <is>
          <t>V0185</t>
        </is>
      </c>
      <c r="B186" s="23" t="n">
        <v>46046</v>
      </c>
      <c r="C186" s="22" t="inlineStr">
        <is>
          <t>Sudeste</t>
        </is>
      </c>
      <c r="D186" s="22" t="inlineStr">
        <is>
          <t>Bruno Lima</t>
        </is>
      </c>
      <c r="E186" s="22" t="inlineStr">
        <is>
          <t>Acessórios</t>
        </is>
      </c>
      <c r="F186" s="22" t="inlineStr">
        <is>
          <t>Mouse</t>
        </is>
      </c>
      <c r="G186" s="22" t="n">
        <v>1</v>
      </c>
      <c r="H186" s="24" t="n">
        <v>96.51000000000001</v>
      </c>
      <c r="I186" s="24" t="n">
        <v>96.51000000000001</v>
      </c>
      <c r="J186" s="22" t="inlineStr">
        <is>
          <t>Cartão de débito</t>
        </is>
      </c>
    </row>
    <row r="187">
      <c r="A187" s="22" t="inlineStr">
        <is>
          <t>V0186</t>
        </is>
      </c>
      <c r="B187" s="23" t="n">
        <v>46131</v>
      </c>
      <c r="C187" s="22" t="inlineStr">
        <is>
          <t>Sudeste</t>
        </is>
      </c>
      <c r="D187" s="22" t="inlineStr">
        <is>
          <t>Ana Souza</t>
        </is>
      </c>
      <c r="E187" s="22" t="inlineStr">
        <is>
          <t>Acessórios</t>
        </is>
      </c>
      <c r="F187" s="22" t="inlineStr">
        <is>
          <t>Teclado</t>
        </is>
      </c>
      <c r="G187" s="22" t="n">
        <v>3</v>
      </c>
      <c r="H187" s="24" t="n">
        <v>173.94</v>
      </c>
      <c r="I187" s="24" t="n">
        <v>521.8200000000001</v>
      </c>
      <c r="J187" s="22" t="inlineStr">
        <is>
          <t>Boleto</t>
        </is>
      </c>
    </row>
    <row r="188">
      <c r="A188" s="22" t="inlineStr">
        <is>
          <t>V0187</t>
        </is>
      </c>
      <c r="B188" s="23" t="n">
        <v>46243</v>
      </c>
      <c r="C188" s="22" t="inlineStr">
        <is>
          <t>Sul</t>
        </is>
      </c>
      <c r="D188" s="22" t="inlineStr">
        <is>
          <t>Fernanda Costa</t>
        </is>
      </c>
      <c r="E188" s="22" t="inlineStr">
        <is>
          <t>Acessórios</t>
        </is>
      </c>
      <c r="F188" s="22" t="inlineStr">
        <is>
          <t>Teclado</t>
        </is>
      </c>
      <c r="G188" s="22" t="n">
        <v>1</v>
      </c>
      <c r="H188" s="24" t="n">
        <v>180.94</v>
      </c>
      <c r="I188" s="24" t="n">
        <v>180.94</v>
      </c>
      <c r="J188" s="22" t="inlineStr">
        <is>
          <t>Cartão de débito</t>
        </is>
      </c>
    </row>
    <row r="189">
      <c r="A189" s="22" t="inlineStr">
        <is>
          <t>V0188</t>
        </is>
      </c>
      <c r="B189" s="23" t="n">
        <v>46059</v>
      </c>
      <c r="C189" s="22" t="inlineStr">
        <is>
          <t>Sudeste</t>
        </is>
      </c>
      <c r="D189" s="22" t="inlineStr">
        <is>
          <t>Diego Alves</t>
        </is>
      </c>
      <c r="E189" s="22" t="inlineStr">
        <is>
          <t>Telefonia</t>
        </is>
      </c>
      <c r="F189" s="22" t="inlineStr">
        <is>
          <t>Tablet</t>
        </is>
      </c>
      <c r="G189" s="22" t="n">
        <v>3</v>
      </c>
      <c r="H189" s="24" t="n">
        <v>1251.14</v>
      </c>
      <c r="I189" s="24" t="n">
        <v>3753.42</v>
      </c>
      <c r="J189" s="22" t="inlineStr">
        <is>
          <t>Pix</t>
        </is>
      </c>
    </row>
    <row r="190">
      <c r="A190" s="22" t="inlineStr">
        <is>
          <t>V0189</t>
        </is>
      </c>
      <c r="B190" s="23" t="n">
        <v>46183</v>
      </c>
      <c r="C190" s="22" t="inlineStr">
        <is>
          <t>Centro-Oeste</t>
        </is>
      </c>
      <c r="D190" s="22" t="inlineStr">
        <is>
          <t>Carla Mendes</t>
        </is>
      </c>
      <c r="E190" s="22" t="inlineStr">
        <is>
          <t>Telefonia</t>
        </is>
      </c>
      <c r="F190" s="22" t="inlineStr">
        <is>
          <t>Smartwatch</t>
        </is>
      </c>
      <c r="G190" s="22" t="n">
        <v>2</v>
      </c>
      <c r="H190" s="24" t="n">
        <v>640.0599999999999</v>
      </c>
      <c r="I190" s="24" t="n">
        <v>1280.12</v>
      </c>
      <c r="J190" s="22" t="inlineStr">
        <is>
          <t>Pix</t>
        </is>
      </c>
    </row>
    <row r="191">
      <c r="A191" s="22" t="inlineStr">
        <is>
          <t>V0190</t>
        </is>
      </c>
      <c r="B191" s="23" t="n">
        <v>46230</v>
      </c>
      <c r="C191" s="22" t="inlineStr">
        <is>
          <t>Norte</t>
        </is>
      </c>
      <c r="D191" s="22" t="inlineStr">
        <is>
          <t>Diego Alves</t>
        </is>
      </c>
      <c r="E191" s="22" t="inlineStr">
        <is>
          <t>Informática</t>
        </is>
      </c>
      <c r="F191" s="22" t="inlineStr">
        <is>
          <t>Notebook</t>
        </is>
      </c>
      <c r="G191" s="22" t="n">
        <v>5</v>
      </c>
      <c r="H191" s="24" t="n">
        <v>3032</v>
      </c>
      <c r="I191" s="24" t="n">
        <v>15160</v>
      </c>
      <c r="J191" s="22" t="inlineStr">
        <is>
          <t>Cartão de débito</t>
        </is>
      </c>
    </row>
    <row r="192">
      <c r="A192" s="22" t="inlineStr">
        <is>
          <t>V0191</t>
        </is>
      </c>
      <c r="B192" s="23" t="n">
        <v>46068</v>
      </c>
      <c r="C192" s="22" t="inlineStr">
        <is>
          <t>Norte</t>
        </is>
      </c>
      <c r="D192" s="22" t="inlineStr">
        <is>
          <t>Diego Alves</t>
        </is>
      </c>
      <c r="E192" s="22" t="inlineStr">
        <is>
          <t>Telefonia</t>
        </is>
      </c>
      <c r="F192" s="22" t="inlineStr">
        <is>
          <t>Tablet</t>
        </is>
      </c>
      <c r="G192" s="22" t="n">
        <v>3</v>
      </c>
      <c r="H192" s="24" t="n">
        <v>1294.56</v>
      </c>
      <c r="I192" s="24" t="n">
        <v>3883.68</v>
      </c>
      <c r="J192" s="22" t="inlineStr">
        <is>
          <t>Pix</t>
        </is>
      </c>
    </row>
    <row r="193">
      <c r="A193" s="22" t="inlineStr">
        <is>
          <t>V0192</t>
        </is>
      </c>
      <c r="B193" s="23" t="n">
        <v>46225</v>
      </c>
      <c r="C193" s="22" t="inlineStr">
        <is>
          <t>Sul</t>
        </is>
      </c>
      <c r="D193" s="22" t="inlineStr">
        <is>
          <t>Ana Souza</t>
        </is>
      </c>
      <c r="E193" s="22" t="inlineStr">
        <is>
          <t>Acessórios</t>
        </is>
      </c>
      <c r="F193" s="22" t="inlineStr">
        <is>
          <t>Headset</t>
        </is>
      </c>
      <c r="G193" s="22" t="n">
        <v>3</v>
      </c>
      <c r="H193" s="24" t="n">
        <v>229.31</v>
      </c>
      <c r="I193" s="24" t="n">
        <v>687.9299999999999</v>
      </c>
      <c r="J193" s="22" t="inlineStr">
        <is>
          <t>Pix</t>
        </is>
      </c>
    </row>
    <row r="194">
      <c r="A194" s="22" t="inlineStr">
        <is>
          <t>V0193</t>
        </is>
      </c>
      <c r="B194" s="23" t="n">
        <v>46294</v>
      </c>
      <c r="C194" s="22" t="inlineStr">
        <is>
          <t>Nordeste</t>
        </is>
      </c>
      <c r="D194" s="22" t="inlineStr">
        <is>
          <t>Bruno Lima</t>
        </is>
      </c>
      <c r="E194" s="22" t="inlineStr">
        <is>
          <t>Acessórios</t>
        </is>
      </c>
      <c r="F194" s="22" t="inlineStr">
        <is>
          <t>Webcam</t>
        </is>
      </c>
      <c r="G194" s="22" t="n">
        <v>1</v>
      </c>
      <c r="H194" s="24" t="n">
        <v>229.72</v>
      </c>
      <c r="I194" s="24" t="n">
        <v>229.72</v>
      </c>
      <c r="J194" s="22" t="inlineStr">
        <is>
          <t>Cartão de crédito</t>
        </is>
      </c>
    </row>
    <row r="195">
      <c r="A195" s="22" t="inlineStr">
        <is>
          <t>V0194</t>
        </is>
      </c>
      <c r="B195" s="23" t="n">
        <v>46075</v>
      </c>
      <c r="C195" s="22" t="inlineStr">
        <is>
          <t>Sul</t>
        </is>
      </c>
      <c r="D195" s="22" t="inlineStr">
        <is>
          <t>Ana Souza</t>
        </is>
      </c>
      <c r="E195" s="22" t="inlineStr">
        <is>
          <t>Acessórios</t>
        </is>
      </c>
      <c r="F195" s="22" t="inlineStr">
        <is>
          <t>Teclado</t>
        </is>
      </c>
      <c r="G195" s="22" t="n">
        <v>1</v>
      </c>
      <c r="H195" s="24" t="n">
        <v>170.6</v>
      </c>
      <c r="I195" s="24" t="n">
        <v>170.6</v>
      </c>
      <c r="J195" s="22" t="inlineStr">
        <is>
          <t>Cartão de crédito</t>
        </is>
      </c>
    </row>
    <row r="196">
      <c r="A196" s="22" t="inlineStr">
        <is>
          <t>V0195</t>
        </is>
      </c>
      <c r="B196" s="23" t="n">
        <v>46275</v>
      </c>
      <c r="C196" s="22" t="inlineStr">
        <is>
          <t>Centro-Oeste</t>
        </is>
      </c>
      <c r="D196" s="22" t="inlineStr">
        <is>
          <t>Fernanda Costa</t>
        </is>
      </c>
      <c r="E196" s="22" t="inlineStr">
        <is>
          <t>Informática</t>
        </is>
      </c>
      <c r="F196" s="22" t="inlineStr">
        <is>
          <t>Impressora</t>
        </is>
      </c>
      <c r="G196" s="22" t="n">
        <v>3</v>
      </c>
      <c r="H196" s="24" t="n">
        <v>812.4299999999999</v>
      </c>
      <c r="I196" s="24" t="n">
        <v>2437.29</v>
      </c>
      <c r="J196" s="22" t="inlineStr">
        <is>
          <t>Cartão de débito</t>
        </is>
      </c>
    </row>
    <row r="197">
      <c r="A197" s="22" t="inlineStr">
        <is>
          <t>V0196</t>
        </is>
      </c>
      <c r="B197" s="23" t="n">
        <v>46184</v>
      </c>
      <c r="C197" s="22" t="inlineStr">
        <is>
          <t>Nordeste</t>
        </is>
      </c>
      <c r="D197" s="22" t="inlineStr">
        <is>
          <t>Carla Mendes</t>
        </is>
      </c>
      <c r="E197" s="22" t="inlineStr">
        <is>
          <t>Acessórios</t>
        </is>
      </c>
      <c r="F197" s="22" t="inlineStr">
        <is>
          <t>Teclado</t>
        </is>
      </c>
      <c r="G197" s="22" t="n">
        <v>2</v>
      </c>
      <c r="H197" s="24" t="n">
        <v>179.1</v>
      </c>
      <c r="I197" s="24" t="n">
        <v>358.2</v>
      </c>
      <c r="J197" s="22" t="inlineStr">
        <is>
          <t>Pix</t>
        </is>
      </c>
    </row>
    <row r="198">
      <c r="A198" s="22" t="inlineStr">
        <is>
          <t>V0197</t>
        </is>
      </c>
      <c r="B198" s="23" t="n">
        <v>46203</v>
      </c>
      <c r="C198" s="22" t="inlineStr">
        <is>
          <t>Sudeste</t>
        </is>
      </c>
      <c r="D198" s="22" t="inlineStr">
        <is>
          <t>Ana Souza</t>
        </is>
      </c>
      <c r="E198" s="22" t="inlineStr">
        <is>
          <t>Acessórios</t>
        </is>
      </c>
      <c r="F198" s="22" t="inlineStr">
        <is>
          <t>Webcam</t>
        </is>
      </c>
      <c r="G198" s="22" t="n">
        <v>1</v>
      </c>
      <c r="H198" s="24" t="n">
        <v>218.65</v>
      </c>
      <c r="I198" s="24" t="n">
        <v>218.65</v>
      </c>
      <c r="J198" s="22" t="inlineStr">
        <is>
          <t>Cartão de débito</t>
        </is>
      </c>
    </row>
    <row r="199">
      <c r="A199" s="22" t="inlineStr">
        <is>
          <t>V0198</t>
        </is>
      </c>
      <c r="B199" s="23" t="n">
        <v>46169</v>
      </c>
      <c r="C199" s="22" t="inlineStr">
        <is>
          <t>Sudeste</t>
        </is>
      </c>
      <c r="D199" s="22" t="inlineStr">
        <is>
          <t>Fernanda Costa</t>
        </is>
      </c>
      <c r="E199" s="22" t="inlineStr">
        <is>
          <t>Informática</t>
        </is>
      </c>
      <c r="F199" s="22" t="inlineStr">
        <is>
          <t>Monitor</t>
        </is>
      </c>
      <c r="G199" s="22" t="n">
        <v>2</v>
      </c>
      <c r="H199" s="24" t="n">
        <v>1022.56</v>
      </c>
      <c r="I199" s="24" t="n">
        <v>2045.12</v>
      </c>
      <c r="J199" s="22" t="inlineStr">
        <is>
          <t>Boleto</t>
        </is>
      </c>
    </row>
    <row r="200">
      <c r="A200" s="22" t="inlineStr">
        <is>
          <t>V0199</t>
        </is>
      </c>
      <c r="B200" s="23" t="n">
        <v>46259</v>
      </c>
      <c r="C200" s="22" t="inlineStr">
        <is>
          <t>Sudeste</t>
        </is>
      </c>
      <c r="D200" s="22" t="inlineStr">
        <is>
          <t>Diego Alves</t>
        </is>
      </c>
      <c r="E200" s="22" t="inlineStr">
        <is>
          <t>Telefonia</t>
        </is>
      </c>
      <c r="F200" s="22" t="inlineStr">
        <is>
          <t>Smartwatch</t>
        </is>
      </c>
      <c r="G200" s="22" t="n">
        <v>2</v>
      </c>
      <c r="H200" s="24" t="n">
        <v>680.35</v>
      </c>
      <c r="I200" s="24" t="n">
        <v>1360.7</v>
      </c>
      <c r="J200" s="22" t="inlineStr">
        <is>
          <t>Cartão de crédito</t>
        </is>
      </c>
    </row>
    <row r="201">
      <c r="A201" s="22" t="inlineStr">
        <is>
          <t>V0200</t>
        </is>
      </c>
      <c r="B201" s="23" t="n">
        <v>46187</v>
      </c>
      <c r="C201" s="22" t="inlineStr">
        <is>
          <t>Sudeste</t>
        </is>
      </c>
      <c r="D201" s="22" t="inlineStr">
        <is>
          <t>Diego Alves</t>
        </is>
      </c>
      <c r="E201" s="22" t="inlineStr">
        <is>
          <t>Telefonia</t>
        </is>
      </c>
      <c r="F201" s="22" t="inlineStr">
        <is>
          <t>Smartwatch</t>
        </is>
      </c>
      <c r="G201" s="22" t="n">
        <v>2</v>
      </c>
      <c r="H201" s="24" t="n">
        <v>613.6900000000001</v>
      </c>
      <c r="I201" s="24" t="n">
        <v>1227.38</v>
      </c>
      <c r="J201" s="22" t="inlineStr">
        <is>
          <t>Pix</t>
        </is>
      </c>
    </row>
    <row r="202">
      <c r="A202" s="22" t="inlineStr">
        <is>
          <t>V0201</t>
        </is>
      </c>
      <c r="B202" s="23" t="n">
        <v>46198</v>
      </c>
      <c r="C202" s="22" t="inlineStr">
        <is>
          <t>Sul</t>
        </is>
      </c>
      <c r="D202" s="22" t="inlineStr">
        <is>
          <t>Diego Alves</t>
        </is>
      </c>
      <c r="E202" s="22" t="inlineStr">
        <is>
          <t>Informática</t>
        </is>
      </c>
      <c r="F202" s="22" t="inlineStr">
        <is>
          <t>Monitor</t>
        </is>
      </c>
      <c r="G202" s="22" t="n">
        <v>2</v>
      </c>
      <c r="H202" s="24" t="n">
        <v>900.23</v>
      </c>
      <c r="I202" s="24" t="n">
        <v>1800.46</v>
      </c>
      <c r="J202" s="22" t="inlineStr">
        <is>
          <t>Boleto</t>
        </is>
      </c>
    </row>
    <row r="203">
      <c r="A203" s="22" t="inlineStr">
        <is>
          <t>V0202</t>
        </is>
      </c>
      <c r="B203" s="23" t="n">
        <v>46291</v>
      </c>
      <c r="C203" s="22" t="inlineStr">
        <is>
          <t>Nordeste</t>
        </is>
      </c>
      <c r="D203" s="22" t="inlineStr">
        <is>
          <t>Diego Alves</t>
        </is>
      </c>
      <c r="E203" s="22" t="inlineStr">
        <is>
          <t>Acessórios</t>
        </is>
      </c>
      <c r="F203" s="22" t="inlineStr">
        <is>
          <t>Webcam</t>
        </is>
      </c>
      <c r="G203" s="22" t="n">
        <v>2</v>
      </c>
      <c r="H203" s="24" t="n">
        <v>215.21</v>
      </c>
      <c r="I203" s="24" t="n">
        <v>430.42</v>
      </c>
      <c r="J203" s="22" t="inlineStr">
        <is>
          <t>Boleto</t>
        </is>
      </c>
    </row>
    <row r="204">
      <c r="A204" s="22" t="inlineStr">
        <is>
          <t>V0203</t>
        </is>
      </c>
      <c r="B204" s="23" t="n">
        <v>46196</v>
      </c>
      <c r="C204" s="22" t="inlineStr">
        <is>
          <t>Nordeste</t>
        </is>
      </c>
      <c r="D204" s="22" t="inlineStr">
        <is>
          <t>Ana Souza</t>
        </is>
      </c>
      <c r="E204" s="22" t="inlineStr">
        <is>
          <t>Telefonia</t>
        </is>
      </c>
      <c r="F204" s="22" t="inlineStr">
        <is>
          <t>Smartwatch</t>
        </is>
      </c>
      <c r="G204" s="22" t="n">
        <v>1</v>
      </c>
      <c r="H204" s="24" t="n">
        <v>663.61</v>
      </c>
      <c r="I204" s="24" t="n">
        <v>663.61</v>
      </c>
      <c r="J204" s="22" t="inlineStr">
        <is>
          <t>Cartão de débito</t>
        </is>
      </c>
    </row>
    <row r="205">
      <c r="A205" s="22" t="inlineStr">
        <is>
          <t>V0204</t>
        </is>
      </c>
      <c r="B205" s="23" t="n">
        <v>46071</v>
      </c>
      <c r="C205" s="22" t="inlineStr">
        <is>
          <t>Norte</t>
        </is>
      </c>
      <c r="D205" s="22" t="inlineStr">
        <is>
          <t>Bruno Lima</t>
        </is>
      </c>
      <c r="E205" s="22" t="inlineStr">
        <is>
          <t>Acessórios</t>
        </is>
      </c>
      <c r="F205" s="22" t="inlineStr">
        <is>
          <t>Webcam</t>
        </is>
      </c>
      <c r="G205" s="22" t="n">
        <v>2</v>
      </c>
      <c r="H205" s="24" t="n">
        <v>212.4</v>
      </c>
      <c r="I205" s="24" t="n">
        <v>424.8</v>
      </c>
      <c r="J205" s="22" t="inlineStr">
        <is>
          <t>Cartão de débito</t>
        </is>
      </c>
    </row>
    <row r="206">
      <c r="A206" s="22" t="inlineStr">
        <is>
          <t>V0205</t>
        </is>
      </c>
      <c r="B206" s="23" t="n">
        <v>46064</v>
      </c>
      <c r="C206" s="22" t="inlineStr">
        <is>
          <t>Nordeste</t>
        </is>
      </c>
      <c r="D206" s="22" t="inlineStr">
        <is>
          <t>Diego Alves</t>
        </is>
      </c>
      <c r="E206" s="22" t="inlineStr">
        <is>
          <t>Telefonia</t>
        </is>
      </c>
      <c r="F206" s="22" t="inlineStr">
        <is>
          <t>Smartwatch</t>
        </is>
      </c>
      <c r="G206" s="22" t="n">
        <v>2</v>
      </c>
      <c r="H206" s="24" t="n">
        <v>693.34</v>
      </c>
      <c r="I206" s="24" t="n">
        <v>1386.68</v>
      </c>
      <c r="J206" s="22" t="inlineStr">
        <is>
          <t>Cartão de crédito</t>
        </is>
      </c>
    </row>
    <row r="207">
      <c r="A207" s="22" t="inlineStr">
        <is>
          <t>V0206</t>
        </is>
      </c>
      <c r="B207" s="23" t="n">
        <v>46066</v>
      </c>
      <c r="C207" s="22" t="inlineStr">
        <is>
          <t>Nordeste</t>
        </is>
      </c>
      <c r="D207" s="22" t="inlineStr">
        <is>
          <t>Bruno Lima</t>
        </is>
      </c>
      <c r="E207" s="22" t="inlineStr">
        <is>
          <t>Acessórios</t>
        </is>
      </c>
      <c r="F207" s="22" t="inlineStr">
        <is>
          <t>Headset</t>
        </is>
      </c>
      <c r="G207" s="22" t="n">
        <v>2</v>
      </c>
      <c r="H207" s="24" t="n">
        <v>245.51</v>
      </c>
      <c r="I207" s="24" t="n">
        <v>491.02</v>
      </c>
      <c r="J207" s="22" t="inlineStr">
        <is>
          <t>Pix</t>
        </is>
      </c>
    </row>
    <row r="208">
      <c r="A208" s="22" t="inlineStr">
        <is>
          <t>V0207</t>
        </is>
      </c>
      <c r="B208" s="23" t="n">
        <v>46239</v>
      </c>
      <c r="C208" s="22" t="inlineStr">
        <is>
          <t>Sul</t>
        </is>
      </c>
      <c r="D208" s="22" t="inlineStr">
        <is>
          <t>Bruno Lima</t>
        </is>
      </c>
      <c r="E208" s="22" t="inlineStr">
        <is>
          <t>Acessórios</t>
        </is>
      </c>
      <c r="F208" s="22" t="inlineStr">
        <is>
          <t>Webcam</t>
        </is>
      </c>
      <c r="G208" s="22" t="n">
        <v>1</v>
      </c>
      <c r="H208" s="24" t="n">
        <v>215.16</v>
      </c>
      <c r="I208" s="24" t="n">
        <v>215.16</v>
      </c>
      <c r="J208" s="22" t="inlineStr">
        <is>
          <t>Cartão de débito</t>
        </is>
      </c>
    </row>
    <row r="209">
      <c r="A209" s="22" t="inlineStr">
        <is>
          <t>V0208</t>
        </is>
      </c>
      <c r="B209" s="23" t="n">
        <v>46271</v>
      </c>
      <c r="C209" s="22" t="inlineStr">
        <is>
          <t>Sudeste</t>
        </is>
      </c>
      <c r="D209" s="22" t="inlineStr">
        <is>
          <t>Carla Mendes</t>
        </is>
      </c>
      <c r="E209" s="22" t="inlineStr">
        <is>
          <t>Acessórios</t>
        </is>
      </c>
      <c r="F209" s="22" t="inlineStr">
        <is>
          <t>Mouse</t>
        </is>
      </c>
      <c r="G209" s="22" t="n">
        <v>1</v>
      </c>
      <c r="H209" s="24" t="n">
        <v>89.48999999999999</v>
      </c>
      <c r="I209" s="24" t="n">
        <v>89.48999999999999</v>
      </c>
      <c r="J209" s="22" t="inlineStr">
        <is>
          <t>Pix</t>
        </is>
      </c>
    </row>
    <row r="210">
      <c r="A210" s="22" t="inlineStr">
        <is>
          <t>V0209</t>
        </is>
      </c>
      <c r="B210" s="23" t="n">
        <v>46282</v>
      </c>
      <c r="C210" s="22" t="inlineStr">
        <is>
          <t>Sudeste</t>
        </is>
      </c>
      <c r="D210" s="22" t="inlineStr">
        <is>
          <t>Carla Mendes</t>
        </is>
      </c>
      <c r="E210" s="22" t="inlineStr">
        <is>
          <t>Acessórios</t>
        </is>
      </c>
      <c r="F210" s="22" t="inlineStr">
        <is>
          <t>Webcam</t>
        </is>
      </c>
      <c r="G210" s="22" t="n">
        <v>3</v>
      </c>
      <c r="H210" s="24" t="n">
        <v>233.51</v>
      </c>
      <c r="I210" s="24" t="n">
        <v>700.53</v>
      </c>
      <c r="J210" s="22" t="inlineStr">
        <is>
          <t>Cartão de crédito</t>
        </is>
      </c>
    </row>
    <row r="211">
      <c r="A211" s="22" t="inlineStr">
        <is>
          <t>V0210</t>
        </is>
      </c>
      <c r="B211" s="23" t="n">
        <v>46215</v>
      </c>
      <c r="C211" s="22" t="inlineStr">
        <is>
          <t>Norte</t>
        </is>
      </c>
      <c r="D211" s="22" t="inlineStr">
        <is>
          <t>Bruno Lima</t>
        </is>
      </c>
      <c r="E211" s="22" t="inlineStr">
        <is>
          <t>Acessórios</t>
        </is>
      </c>
      <c r="F211" s="22" t="inlineStr">
        <is>
          <t>Teclado</t>
        </is>
      </c>
      <c r="G211" s="22" t="n">
        <v>1</v>
      </c>
      <c r="H211" s="24" t="n">
        <v>189.54</v>
      </c>
      <c r="I211" s="24" t="n">
        <v>189.54</v>
      </c>
      <c r="J211" s="22" t="inlineStr">
        <is>
          <t>Boleto</t>
        </is>
      </c>
    </row>
    <row r="212">
      <c r="A212" s="22" t="inlineStr">
        <is>
          <t>V0211</t>
        </is>
      </c>
      <c r="B212" s="23" t="n">
        <v>46045</v>
      </c>
      <c r="C212" s="22" t="inlineStr">
        <is>
          <t>Centro-Oeste</t>
        </is>
      </c>
      <c r="D212" s="22" t="inlineStr">
        <is>
          <t>Fernanda Costa</t>
        </is>
      </c>
      <c r="E212" s="22" t="inlineStr">
        <is>
          <t>Telefonia</t>
        </is>
      </c>
      <c r="F212" s="22" t="inlineStr">
        <is>
          <t>Tablet</t>
        </is>
      </c>
      <c r="G212" s="22" t="n">
        <v>1</v>
      </c>
      <c r="H212" s="24" t="n">
        <v>1397.43</v>
      </c>
      <c r="I212" s="24" t="n">
        <v>1397.43</v>
      </c>
      <c r="J212" s="22" t="inlineStr">
        <is>
          <t>Cartão de débito</t>
        </is>
      </c>
    </row>
    <row r="213">
      <c r="A213" s="22" t="inlineStr">
        <is>
          <t>V0212</t>
        </is>
      </c>
      <c r="B213" s="23" t="n">
        <v>46252</v>
      </c>
      <c r="C213" s="22" t="inlineStr">
        <is>
          <t>Centro-Oeste</t>
        </is>
      </c>
      <c r="D213" s="22" t="inlineStr">
        <is>
          <t>Bruno Lima</t>
        </is>
      </c>
      <c r="E213" s="22" t="inlineStr">
        <is>
          <t>Acessórios</t>
        </is>
      </c>
      <c r="F213" s="22" t="inlineStr">
        <is>
          <t>Mouse</t>
        </is>
      </c>
      <c r="G213" s="22" t="n">
        <v>2</v>
      </c>
      <c r="H213" s="24" t="n">
        <v>92.09999999999999</v>
      </c>
      <c r="I213" s="24" t="n">
        <v>184.2</v>
      </c>
      <c r="J213" s="22" t="inlineStr">
        <is>
          <t>Cartão de débito</t>
        </is>
      </c>
    </row>
    <row r="214">
      <c r="A214" s="22" t="inlineStr">
        <is>
          <t>V0213</t>
        </is>
      </c>
      <c r="B214" s="23" t="n">
        <v>46248</v>
      </c>
      <c r="C214" s="22" t="inlineStr">
        <is>
          <t>Norte</t>
        </is>
      </c>
      <c r="D214" s="22" t="inlineStr">
        <is>
          <t>Fernanda Costa</t>
        </is>
      </c>
      <c r="E214" s="22" t="inlineStr">
        <is>
          <t>Informática</t>
        </is>
      </c>
      <c r="F214" s="22" t="inlineStr">
        <is>
          <t>Impressora</t>
        </is>
      </c>
      <c r="G214" s="22" t="n">
        <v>3</v>
      </c>
      <c r="H214" s="24" t="n">
        <v>814.71</v>
      </c>
      <c r="I214" s="24" t="n">
        <v>2444.13</v>
      </c>
      <c r="J214" s="22" t="inlineStr">
        <is>
          <t>Boleto</t>
        </is>
      </c>
    </row>
    <row r="215">
      <c r="A215" s="22" t="inlineStr">
        <is>
          <t>V0214</t>
        </is>
      </c>
      <c r="B215" s="23" t="n">
        <v>46105</v>
      </c>
      <c r="C215" s="22" t="inlineStr">
        <is>
          <t>Nordeste</t>
        </is>
      </c>
      <c r="D215" s="22" t="inlineStr">
        <is>
          <t>Ana Souza</t>
        </is>
      </c>
      <c r="E215" s="22" t="inlineStr">
        <is>
          <t>Acessórios</t>
        </is>
      </c>
      <c r="F215" s="22" t="inlineStr">
        <is>
          <t>Mouse</t>
        </is>
      </c>
      <c r="G215" s="22" t="n">
        <v>3</v>
      </c>
      <c r="H215" s="24" t="n">
        <v>89.5</v>
      </c>
      <c r="I215" s="24" t="n">
        <v>268.5</v>
      </c>
      <c r="J215" s="22" t="inlineStr">
        <is>
          <t>Boleto</t>
        </is>
      </c>
    </row>
    <row r="216">
      <c r="A216" s="22" t="inlineStr">
        <is>
          <t>V0215</t>
        </is>
      </c>
      <c r="B216" s="23" t="n">
        <v>46213</v>
      </c>
      <c r="C216" s="22" t="inlineStr">
        <is>
          <t>Norte</t>
        </is>
      </c>
      <c r="D216" s="22" t="inlineStr">
        <is>
          <t>Ana Souza</t>
        </is>
      </c>
      <c r="E216" s="22" t="inlineStr">
        <is>
          <t>Acessórios</t>
        </is>
      </c>
      <c r="F216" s="22" t="inlineStr">
        <is>
          <t>Webcam</t>
        </is>
      </c>
      <c r="G216" s="22" t="n">
        <v>4</v>
      </c>
      <c r="H216" s="24" t="n">
        <v>227.44</v>
      </c>
      <c r="I216" s="24" t="n">
        <v>909.76</v>
      </c>
      <c r="J216" s="22" t="inlineStr">
        <is>
          <t>Cartão de débito</t>
        </is>
      </c>
    </row>
    <row r="217">
      <c r="A217" s="22" t="inlineStr">
        <is>
          <t>V0216</t>
        </is>
      </c>
      <c r="B217" s="23" t="n">
        <v>46065</v>
      </c>
      <c r="C217" s="22" t="inlineStr">
        <is>
          <t>Sul</t>
        </is>
      </c>
      <c r="D217" s="22" t="inlineStr">
        <is>
          <t>Diego Alves</t>
        </is>
      </c>
      <c r="E217" s="22" t="inlineStr">
        <is>
          <t>Acessórios</t>
        </is>
      </c>
      <c r="F217" s="22" t="inlineStr">
        <is>
          <t>Teclado</t>
        </is>
      </c>
      <c r="G217" s="22" t="n">
        <v>1</v>
      </c>
      <c r="H217" s="24" t="n">
        <v>191.67</v>
      </c>
      <c r="I217" s="24" t="n">
        <v>191.67</v>
      </c>
      <c r="J217" s="22" t="inlineStr">
        <is>
          <t>Pix</t>
        </is>
      </c>
    </row>
    <row r="218">
      <c r="A218" s="22" t="inlineStr">
        <is>
          <t>V0217</t>
        </is>
      </c>
      <c r="B218" s="23" t="n">
        <v>46136</v>
      </c>
      <c r="C218" s="22" t="inlineStr">
        <is>
          <t>Centro-Oeste</t>
        </is>
      </c>
      <c r="D218" s="22" t="inlineStr">
        <is>
          <t>Ana Souza</t>
        </is>
      </c>
      <c r="E218" s="22" t="inlineStr">
        <is>
          <t>Informática</t>
        </is>
      </c>
      <c r="F218" s="22" t="inlineStr">
        <is>
          <t>Impressora</t>
        </is>
      </c>
      <c r="G218" s="22" t="n">
        <v>4</v>
      </c>
      <c r="H218" s="24" t="n">
        <v>833.72</v>
      </c>
      <c r="I218" s="24" t="n">
        <v>3334.88</v>
      </c>
      <c r="J218" s="22" t="inlineStr">
        <is>
          <t>Boleto</t>
        </is>
      </c>
    </row>
    <row r="219">
      <c r="A219" s="22" t="inlineStr">
        <is>
          <t>V0218</t>
        </is>
      </c>
      <c r="B219" s="23" t="n">
        <v>46280</v>
      </c>
      <c r="C219" s="22" t="inlineStr">
        <is>
          <t>Nordeste</t>
        </is>
      </c>
      <c r="D219" s="22" t="inlineStr">
        <is>
          <t>Bruno Lima</t>
        </is>
      </c>
      <c r="E219" s="22" t="inlineStr">
        <is>
          <t>Telefonia</t>
        </is>
      </c>
      <c r="F219" s="22" t="inlineStr">
        <is>
          <t>Smartphone</t>
        </is>
      </c>
      <c r="G219" s="22" t="n">
        <v>1</v>
      </c>
      <c r="H219" s="24" t="n">
        <v>2266.16</v>
      </c>
      <c r="I219" s="24" t="n">
        <v>2266.16</v>
      </c>
      <c r="J219" s="22" t="inlineStr">
        <is>
          <t>Pix</t>
        </is>
      </c>
    </row>
    <row r="220">
      <c r="A220" s="22" t="inlineStr">
        <is>
          <t>V0219</t>
        </is>
      </c>
      <c r="B220" s="23" t="n">
        <v>46186</v>
      </c>
      <c r="C220" s="22" t="inlineStr">
        <is>
          <t>Sul</t>
        </is>
      </c>
      <c r="D220" s="22" t="inlineStr">
        <is>
          <t>Bruno Lima</t>
        </is>
      </c>
      <c r="E220" s="22" t="inlineStr">
        <is>
          <t>Informática</t>
        </is>
      </c>
      <c r="F220" s="22" t="inlineStr">
        <is>
          <t>Monitor</t>
        </is>
      </c>
      <c r="G220" s="22" t="n">
        <v>3</v>
      </c>
      <c r="H220" s="24" t="n">
        <v>972.79</v>
      </c>
      <c r="I220" s="24" t="n">
        <v>2918.37</v>
      </c>
      <c r="J220" s="22" t="inlineStr">
        <is>
          <t>Pix</t>
        </is>
      </c>
    </row>
    <row r="221">
      <c r="A221" s="22" t="inlineStr">
        <is>
          <t>V0220</t>
        </is>
      </c>
      <c r="B221" s="23" t="n">
        <v>46169</v>
      </c>
      <c r="C221" s="22" t="inlineStr">
        <is>
          <t>Centro-Oeste</t>
        </is>
      </c>
      <c r="D221" s="22" t="inlineStr">
        <is>
          <t>Diego Alves</t>
        </is>
      </c>
      <c r="E221" s="22" t="inlineStr">
        <is>
          <t>Informática</t>
        </is>
      </c>
      <c r="F221" s="22" t="inlineStr">
        <is>
          <t>Impressora</t>
        </is>
      </c>
      <c r="G221" s="22" t="n">
        <v>2</v>
      </c>
      <c r="H221" s="24" t="n">
        <v>734.92</v>
      </c>
      <c r="I221" s="24" t="n">
        <v>1469.84</v>
      </c>
      <c r="J221" s="22" t="inlineStr">
        <is>
          <t>Pix</t>
        </is>
      </c>
    </row>
    <row r="222">
      <c r="A222" s="22" t="inlineStr">
        <is>
          <t>V0221</t>
        </is>
      </c>
      <c r="B222" s="23" t="n">
        <v>46063</v>
      </c>
      <c r="C222" s="22" t="inlineStr">
        <is>
          <t>Norte</t>
        </is>
      </c>
      <c r="D222" s="22" t="inlineStr">
        <is>
          <t>Fernanda Costa</t>
        </is>
      </c>
      <c r="E222" s="22" t="inlineStr">
        <is>
          <t>Informática</t>
        </is>
      </c>
      <c r="F222" s="22" t="inlineStr">
        <is>
          <t>Notebook</t>
        </is>
      </c>
      <c r="G222" s="22" t="n">
        <v>1</v>
      </c>
      <c r="H222" s="24" t="n">
        <v>3371.5</v>
      </c>
      <c r="I222" s="24" t="n">
        <v>3371.5</v>
      </c>
      <c r="J222" s="22" t="inlineStr">
        <is>
          <t>Boleto</t>
        </is>
      </c>
    </row>
    <row r="223">
      <c r="A223" s="22" t="inlineStr">
        <is>
          <t>V0222</t>
        </is>
      </c>
      <c r="B223" s="23" t="n">
        <v>46079</v>
      </c>
      <c r="C223" s="22" t="inlineStr">
        <is>
          <t>Sul</t>
        </is>
      </c>
      <c r="D223" s="22" t="inlineStr">
        <is>
          <t>Diego Alves</t>
        </is>
      </c>
      <c r="E223" s="22" t="inlineStr">
        <is>
          <t>Acessórios</t>
        </is>
      </c>
      <c r="F223" s="22" t="inlineStr">
        <is>
          <t>Headset</t>
        </is>
      </c>
      <c r="G223" s="22" t="n">
        <v>1</v>
      </c>
      <c r="H223" s="24" t="n">
        <v>225.48</v>
      </c>
      <c r="I223" s="24" t="n">
        <v>225.48</v>
      </c>
      <c r="J223" s="22" t="inlineStr">
        <is>
          <t>Boleto</t>
        </is>
      </c>
    </row>
    <row r="224">
      <c r="A224" s="22" t="inlineStr">
        <is>
          <t>V0223</t>
        </is>
      </c>
      <c r="B224" s="23" t="n">
        <v>46055</v>
      </c>
      <c r="C224" s="22" t="inlineStr">
        <is>
          <t>Norte</t>
        </is>
      </c>
      <c r="D224" s="22" t="inlineStr">
        <is>
          <t>Ana Souza</t>
        </is>
      </c>
      <c r="E224" s="22" t="inlineStr">
        <is>
          <t>Informática</t>
        </is>
      </c>
      <c r="F224" s="22" t="inlineStr">
        <is>
          <t>Monitor</t>
        </is>
      </c>
      <c r="G224" s="22" t="n">
        <v>3</v>
      </c>
      <c r="H224" s="24" t="n">
        <v>949.97</v>
      </c>
      <c r="I224" s="24" t="n">
        <v>2849.91</v>
      </c>
      <c r="J224" s="22" t="inlineStr">
        <is>
          <t>Cartão de crédito</t>
        </is>
      </c>
    </row>
    <row r="225">
      <c r="A225" s="22" t="inlineStr">
        <is>
          <t>V0224</t>
        </is>
      </c>
      <c r="B225" s="23" t="n">
        <v>46096</v>
      </c>
      <c r="C225" s="22" t="inlineStr">
        <is>
          <t>Sul</t>
        </is>
      </c>
      <c r="D225" s="22" t="inlineStr">
        <is>
          <t>Fernanda Costa</t>
        </is>
      </c>
      <c r="E225" s="22" t="inlineStr">
        <is>
          <t>Acessórios</t>
        </is>
      </c>
      <c r="F225" s="22" t="inlineStr">
        <is>
          <t>Headset</t>
        </is>
      </c>
      <c r="G225" s="22" t="n">
        <v>2</v>
      </c>
      <c r="H225" s="24" t="n">
        <v>244.41</v>
      </c>
      <c r="I225" s="24" t="n">
        <v>488.82</v>
      </c>
      <c r="J225" s="22" t="inlineStr">
        <is>
          <t>Boleto</t>
        </is>
      </c>
    </row>
    <row r="226">
      <c r="A226" s="22" t="inlineStr">
        <is>
          <t>V0225</t>
        </is>
      </c>
      <c r="B226" s="23" t="n">
        <v>46118</v>
      </c>
      <c r="C226" s="22" t="inlineStr">
        <is>
          <t>Norte</t>
        </is>
      </c>
      <c r="D226" s="22" t="inlineStr">
        <is>
          <t>Fernanda Costa</t>
        </is>
      </c>
      <c r="E226" s="22" t="inlineStr">
        <is>
          <t>Informática</t>
        </is>
      </c>
      <c r="F226" s="22" t="inlineStr">
        <is>
          <t>Monitor</t>
        </is>
      </c>
      <c r="G226" s="22" t="n">
        <v>2</v>
      </c>
      <c r="H226" s="24" t="n">
        <v>928.8099999999999</v>
      </c>
      <c r="I226" s="24" t="n">
        <v>1857.62</v>
      </c>
      <c r="J226" s="22" t="inlineStr">
        <is>
          <t>Pix</t>
        </is>
      </c>
    </row>
    <row r="227">
      <c r="A227" s="22" t="inlineStr">
        <is>
          <t>V0226</t>
        </is>
      </c>
      <c r="B227" s="23" t="n">
        <v>46222</v>
      </c>
      <c r="C227" s="22" t="inlineStr">
        <is>
          <t>Nordeste</t>
        </is>
      </c>
      <c r="D227" s="22" t="inlineStr">
        <is>
          <t>Carla Mendes</t>
        </is>
      </c>
      <c r="E227" s="22" t="inlineStr">
        <is>
          <t>Informática</t>
        </is>
      </c>
      <c r="F227" s="22" t="inlineStr">
        <is>
          <t>Impressora</t>
        </is>
      </c>
      <c r="G227" s="22" t="n">
        <v>1</v>
      </c>
      <c r="H227" s="24" t="n">
        <v>765.88</v>
      </c>
      <c r="I227" s="24" t="n">
        <v>765.88</v>
      </c>
      <c r="J227" s="22" t="inlineStr">
        <is>
          <t>Pix</t>
        </is>
      </c>
    </row>
    <row r="228">
      <c r="A228" s="22" t="inlineStr">
        <is>
          <t>V0227</t>
        </is>
      </c>
      <c r="B228" s="23" t="n">
        <v>46205</v>
      </c>
      <c r="C228" s="22" t="inlineStr">
        <is>
          <t>Sudeste</t>
        </is>
      </c>
      <c r="D228" s="22" t="inlineStr">
        <is>
          <t>Fernanda Costa</t>
        </is>
      </c>
      <c r="E228" s="22" t="inlineStr">
        <is>
          <t>Informática</t>
        </is>
      </c>
      <c r="F228" s="22" t="inlineStr">
        <is>
          <t>Monitor</t>
        </is>
      </c>
      <c r="G228" s="22" t="n">
        <v>1</v>
      </c>
      <c r="H228" s="24" t="n">
        <v>985.41</v>
      </c>
      <c r="I228" s="24" t="n">
        <v>985.41</v>
      </c>
      <c r="J228" s="22" t="inlineStr">
        <is>
          <t>Cartão de débito</t>
        </is>
      </c>
    </row>
    <row r="229">
      <c r="A229" s="22" t="inlineStr">
        <is>
          <t>V0228</t>
        </is>
      </c>
      <c r="B229" s="23" t="n">
        <v>46091</v>
      </c>
      <c r="C229" s="22" t="inlineStr">
        <is>
          <t>Sul</t>
        </is>
      </c>
      <c r="D229" s="22" t="inlineStr">
        <is>
          <t>Diego Alves</t>
        </is>
      </c>
      <c r="E229" s="22" t="inlineStr">
        <is>
          <t>Informática</t>
        </is>
      </c>
      <c r="F229" s="22" t="inlineStr">
        <is>
          <t>Notebook</t>
        </is>
      </c>
      <c r="G229" s="22" t="n">
        <v>1</v>
      </c>
      <c r="H229" s="24" t="n">
        <v>3117.34</v>
      </c>
      <c r="I229" s="24" t="n">
        <v>3117.34</v>
      </c>
      <c r="J229" s="22" t="inlineStr">
        <is>
          <t>Boleto</t>
        </is>
      </c>
    </row>
    <row r="230">
      <c r="A230" s="22" t="inlineStr">
        <is>
          <t>V0229</t>
        </is>
      </c>
      <c r="B230" s="23" t="n">
        <v>46116</v>
      </c>
      <c r="C230" s="22" t="inlineStr">
        <is>
          <t>Centro-Oeste</t>
        </is>
      </c>
      <c r="D230" s="22" t="inlineStr">
        <is>
          <t>Ana Souza</t>
        </is>
      </c>
      <c r="E230" s="22" t="inlineStr">
        <is>
          <t>Acessórios</t>
        </is>
      </c>
      <c r="F230" s="22" t="inlineStr">
        <is>
          <t>Teclado</t>
        </is>
      </c>
      <c r="G230" s="22" t="n">
        <v>1</v>
      </c>
      <c r="H230" s="24" t="n">
        <v>187.95</v>
      </c>
      <c r="I230" s="24" t="n">
        <v>187.95</v>
      </c>
      <c r="J230" s="22" t="inlineStr">
        <is>
          <t>Cartão de débito</t>
        </is>
      </c>
    </row>
    <row r="231">
      <c r="A231" s="22" t="inlineStr">
        <is>
          <t>V0230</t>
        </is>
      </c>
      <c r="B231" s="23" t="n">
        <v>46126</v>
      </c>
      <c r="C231" s="22" t="inlineStr">
        <is>
          <t>Nordeste</t>
        </is>
      </c>
      <c r="D231" s="22" t="inlineStr">
        <is>
          <t>Carla Mendes</t>
        </is>
      </c>
      <c r="E231" s="22" t="inlineStr">
        <is>
          <t>Informática</t>
        </is>
      </c>
      <c r="F231" s="22" t="inlineStr">
        <is>
          <t>Notebook</t>
        </is>
      </c>
      <c r="G231" s="22" t="n">
        <v>3</v>
      </c>
      <c r="H231" s="24" t="n">
        <v>3397.52</v>
      </c>
      <c r="I231" s="24" t="n">
        <v>10192.56</v>
      </c>
      <c r="J231" s="22" t="inlineStr">
        <is>
          <t>Boleto</t>
        </is>
      </c>
    </row>
    <row r="232">
      <c r="A232" s="22" t="inlineStr">
        <is>
          <t>V0231</t>
        </is>
      </c>
      <c r="B232" s="23" t="n">
        <v>46301</v>
      </c>
      <c r="C232" s="22" t="inlineStr">
        <is>
          <t>Sul</t>
        </is>
      </c>
      <c r="D232" s="22" t="inlineStr">
        <is>
          <t>Carla Mendes</t>
        </is>
      </c>
      <c r="E232" s="22" t="inlineStr">
        <is>
          <t>Informática</t>
        </is>
      </c>
      <c r="F232" s="22" t="inlineStr">
        <is>
          <t>Impressora</t>
        </is>
      </c>
      <c r="G232" s="22" t="n">
        <v>1</v>
      </c>
      <c r="H232" s="24" t="n">
        <v>811.61</v>
      </c>
      <c r="I232" s="24" t="n">
        <v>811.61</v>
      </c>
      <c r="J232" s="22" t="inlineStr">
        <is>
          <t>Cartão de débito</t>
        </is>
      </c>
    </row>
    <row r="233">
      <c r="A233" s="22" t="inlineStr">
        <is>
          <t>V0232</t>
        </is>
      </c>
      <c r="B233" s="23" t="n">
        <v>46047</v>
      </c>
      <c r="C233" s="22" t="inlineStr">
        <is>
          <t>Centro-Oeste</t>
        </is>
      </c>
      <c r="D233" s="22" t="inlineStr">
        <is>
          <t>Diego Alves</t>
        </is>
      </c>
      <c r="E233" s="22" t="inlineStr">
        <is>
          <t>Telefonia</t>
        </is>
      </c>
      <c r="F233" s="22" t="inlineStr">
        <is>
          <t>Smartphone</t>
        </is>
      </c>
      <c r="G233" s="22" t="n">
        <v>1</v>
      </c>
      <c r="H233" s="24" t="n">
        <v>2200.58</v>
      </c>
      <c r="I233" s="24" t="n">
        <v>2200.58</v>
      </c>
      <c r="J233" s="22" t="inlineStr">
        <is>
          <t>Boleto</t>
        </is>
      </c>
    </row>
    <row r="234">
      <c r="A234" s="22" t="inlineStr">
        <is>
          <t>V0233</t>
        </is>
      </c>
      <c r="B234" s="23" t="n">
        <v>46220</v>
      </c>
      <c r="C234" s="22" t="inlineStr">
        <is>
          <t>Centro-Oeste</t>
        </is>
      </c>
      <c r="D234" s="22" t="inlineStr">
        <is>
          <t>Carla Mendes</t>
        </is>
      </c>
      <c r="E234" s="22" t="inlineStr">
        <is>
          <t>Telefonia</t>
        </is>
      </c>
      <c r="F234" s="22" t="inlineStr">
        <is>
          <t>Smartphone</t>
        </is>
      </c>
      <c r="G234" s="22" t="n">
        <v>5</v>
      </c>
      <c r="H234" s="24" t="n">
        <v>2098.72</v>
      </c>
      <c r="I234" s="24" t="n">
        <v>10493.6</v>
      </c>
      <c r="J234" s="22" t="inlineStr">
        <is>
          <t>Cartão de débito</t>
        </is>
      </c>
    </row>
    <row r="235">
      <c r="A235" s="22" t="inlineStr">
        <is>
          <t>V0234</t>
        </is>
      </c>
      <c r="B235" s="23" t="n">
        <v>46065</v>
      </c>
      <c r="C235" s="22" t="inlineStr">
        <is>
          <t>Sul</t>
        </is>
      </c>
      <c r="D235" s="22" t="inlineStr">
        <is>
          <t>Fernanda Costa</t>
        </is>
      </c>
      <c r="E235" s="22" t="inlineStr">
        <is>
          <t>Telefonia</t>
        </is>
      </c>
      <c r="F235" s="22" t="inlineStr">
        <is>
          <t>Tablet</t>
        </is>
      </c>
      <c r="G235" s="22" t="n">
        <v>1</v>
      </c>
      <c r="H235" s="24" t="n">
        <v>1372.13</v>
      </c>
      <c r="I235" s="24" t="n">
        <v>1372.13</v>
      </c>
      <c r="J235" s="22" t="inlineStr">
        <is>
          <t>Cartão de débito</t>
        </is>
      </c>
    </row>
    <row r="236">
      <c r="A236" s="22" t="inlineStr">
        <is>
          <t>V0235</t>
        </is>
      </c>
      <c r="B236" s="23" t="n">
        <v>46187</v>
      </c>
      <c r="C236" s="22" t="inlineStr">
        <is>
          <t>Nordeste</t>
        </is>
      </c>
      <c r="D236" s="22" t="inlineStr">
        <is>
          <t>Diego Alves</t>
        </is>
      </c>
      <c r="E236" s="22" t="inlineStr">
        <is>
          <t>Informática</t>
        </is>
      </c>
      <c r="F236" s="22" t="inlineStr">
        <is>
          <t>Monitor</t>
        </is>
      </c>
      <c r="G236" s="22" t="n">
        <v>1</v>
      </c>
      <c r="H236" s="24" t="n">
        <v>974.46</v>
      </c>
      <c r="I236" s="24" t="n">
        <v>974.46</v>
      </c>
      <c r="J236" s="22" t="inlineStr">
        <is>
          <t>Boleto</t>
        </is>
      </c>
    </row>
    <row r="237">
      <c r="A237" s="22" t="inlineStr">
        <is>
          <t>V0236</t>
        </is>
      </c>
      <c r="B237" s="23" t="n">
        <v>46108</v>
      </c>
      <c r="C237" s="22" t="inlineStr">
        <is>
          <t>Nordeste</t>
        </is>
      </c>
      <c r="D237" s="22" t="inlineStr">
        <is>
          <t>Fernanda Costa</t>
        </is>
      </c>
      <c r="E237" s="22" t="inlineStr">
        <is>
          <t>Informática</t>
        </is>
      </c>
      <c r="F237" s="22" t="inlineStr">
        <is>
          <t>Impressora</t>
        </is>
      </c>
      <c r="G237" s="22" t="n">
        <v>1</v>
      </c>
      <c r="H237" s="24" t="n">
        <v>722.89</v>
      </c>
      <c r="I237" s="24" t="n">
        <v>722.89</v>
      </c>
      <c r="J237" s="22" t="inlineStr">
        <is>
          <t>Boleto</t>
        </is>
      </c>
    </row>
    <row r="238">
      <c r="A238" s="22" t="inlineStr">
        <is>
          <t>V0237</t>
        </is>
      </c>
      <c r="B238" s="23" t="n">
        <v>46163</v>
      </c>
      <c r="C238" s="22" t="inlineStr">
        <is>
          <t>Nordeste</t>
        </is>
      </c>
      <c r="D238" s="22" t="inlineStr">
        <is>
          <t>Fernanda Costa</t>
        </is>
      </c>
      <c r="E238" s="22" t="inlineStr">
        <is>
          <t>Informática</t>
        </is>
      </c>
      <c r="F238" s="22" t="inlineStr">
        <is>
          <t>Notebook</t>
        </is>
      </c>
      <c r="G238" s="22" t="n">
        <v>1</v>
      </c>
      <c r="H238" s="24" t="n">
        <v>3270.41</v>
      </c>
      <c r="I238" s="24" t="n">
        <v>3270.41</v>
      </c>
      <c r="J238" s="22" t="inlineStr">
        <is>
          <t>Cartão de crédito</t>
        </is>
      </c>
    </row>
    <row r="239">
      <c r="A239" s="22" t="inlineStr">
        <is>
          <t>V0238</t>
        </is>
      </c>
      <c r="B239" s="23" t="n">
        <v>46038</v>
      </c>
      <c r="C239" s="22" t="inlineStr">
        <is>
          <t>Centro-Oeste</t>
        </is>
      </c>
      <c r="D239" s="22" t="inlineStr">
        <is>
          <t>Ana Souza</t>
        </is>
      </c>
      <c r="E239" s="22" t="inlineStr">
        <is>
          <t>Acessórios</t>
        </is>
      </c>
      <c r="F239" s="22" t="inlineStr">
        <is>
          <t>Teclado</t>
        </is>
      </c>
      <c r="G239" s="22" t="n">
        <v>3</v>
      </c>
      <c r="H239" s="24" t="n">
        <v>185.13</v>
      </c>
      <c r="I239" s="24" t="n">
        <v>555.39</v>
      </c>
      <c r="J239" s="22" t="inlineStr">
        <is>
          <t>Cartão de crédito</t>
        </is>
      </c>
    </row>
    <row r="240">
      <c r="A240" s="22" t="inlineStr">
        <is>
          <t>V0239</t>
        </is>
      </c>
      <c r="B240" s="23" t="n">
        <v>46057</v>
      </c>
      <c r="C240" s="22" t="inlineStr">
        <is>
          <t>Centro-Oeste</t>
        </is>
      </c>
      <c r="D240" s="22" t="inlineStr">
        <is>
          <t>Fernanda Costa</t>
        </is>
      </c>
      <c r="E240" s="22" t="inlineStr">
        <is>
          <t>Acessórios</t>
        </is>
      </c>
      <c r="F240" s="22" t="inlineStr">
        <is>
          <t>Mouse</t>
        </is>
      </c>
      <c r="G240" s="22" t="n">
        <v>3</v>
      </c>
      <c r="H240" s="24" t="n">
        <v>92.97</v>
      </c>
      <c r="I240" s="24" t="n">
        <v>278.91</v>
      </c>
      <c r="J240" s="22" t="inlineStr">
        <is>
          <t>Pix</t>
        </is>
      </c>
    </row>
    <row r="241">
      <c r="A241" s="22" t="inlineStr">
        <is>
          <t>V0240</t>
        </is>
      </c>
      <c r="B241" s="23" t="n">
        <v>46101</v>
      </c>
      <c r="C241" s="22" t="inlineStr">
        <is>
          <t>Sudeste</t>
        </is>
      </c>
      <c r="D241" s="22" t="inlineStr">
        <is>
          <t>Fernanda Costa</t>
        </is>
      </c>
      <c r="E241" s="22" t="inlineStr">
        <is>
          <t>Informática</t>
        </is>
      </c>
      <c r="F241" s="22" t="inlineStr">
        <is>
          <t>Impressora</t>
        </is>
      </c>
      <c r="G241" s="22" t="n">
        <v>4</v>
      </c>
      <c r="H241" s="24" t="n">
        <v>764.03</v>
      </c>
      <c r="I241" s="24" t="n">
        <v>3056.12</v>
      </c>
      <c r="J241" s="22" t="inlineStr">
        <is>
          <t>Cartão de crédito</t>
        </is>
      </c>
    </row>
  </sheetData>
  <autoFilter ref="A1:J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00" customWidth="1" min="3" max="3"/>
  </cols>
  <sheetData>
    <row r="2" ht="35" customHeight="1">
      <c r="B2" s="25" t="inlineStr">
        <is>
          <t>GUIA DO PROJETO — DASHBOARD DE VENDAS</t>
        </is>
      </c>
    </row>
    <row r="4" ht="30" customHeight="1">
      <c r="B4" s="26" t="inlineStr">
        <is>
          <t>Objetivo</t>
        </is>
      </c>
      <c r="C4" s="27" t="inlineStr">
        <is>
          <t>Transformar uma base tabular em indicadores visuais para apoiar a análise de vendas.</t>
        </is>
      </c>
    </row>
    <row r="5" ht="38" customHeight="1">
      <c r="B5" s="26" t="inlineStr">
        <is>
          <t>Dados utilizados</t>
        </is>
      </c>
      <c r="C5" s="27" t="inlineStr">
        <is>
          <t>Base demonstrativa criada para este projeto, com 240 vendas fictícias entre janeiro e outubro de 2026. Não representa uma empresa real.</t>
        </is>
      </c>
    </row>
    <row r="6" ht="38" customHeight="1">
      <c r="B6" s="26" t="inlineStr">
        <is>
          <t>Aba Dashboard</t>
        </is>
      </c>
      <c r="C6" s="27" t="inlineStr">
        <is>
          <t>Apresenta faturamento total, unidades vendidas, número de vendas, ticket médio e gráficos por mês, categoria e região.</t>
        </is>
      </c>
    </row>
    <row r="7" ht="30" customHeight="1">
      <c r="B7" s="26" t="inlineStr">
        <is>
          <t>Aba Base de Dados</t>
        </is>
      </c>
      <c r="C7" s="27" t="inlineStr">
        <is>
          <t>Contém os registros de vendas em formato de Tabela do Excel, com filtros e formatação de moeda/data.</t>
        </is>
      </c>
    </row>
    <row r="8" ht="30" customHeight="1">
      <c r="B8" s="26" t="inlineStr">
        <is>
          <t>Aba Instruções</t>
        </is>
      </c>
      <c r="C8" s="27" t="inlineStr">
        <is>
          <t>Explica a finalidade do projeto e como reproduzir/atualizar os dados.</t>
        </is>
      </c>
    </row>
    <row r="9" ht="38" customHeight="1">
      <c r="B9" s="26" t="inlineStr">
        <is>
          <t>Como atualizar</t>
        </is>
      </c>
      <c r="C9" s="27" t="inlineStr">
        <is>
          <t>Na aba Base de Dados, adicione novos registros abaixo da tabela, mantendo as mesmas colunas e formatos. Confira se as fórmulas e os gráficos abrangem as novas linhas.</t>
        </is>
      </c>
    </row>
    <row r="10" ht="38" customHeight="1">
      <c r="B10" s="26" t="inlineStr">
        <is>
          <t>Reprodução</t>
        </is>
      </c>
      <c r="C10" s="27" t="inlineStr">
        <is>
          <t>Abra Dashboard_Vendas_DIO.xlsx no Microsoft Excel ou em um aplicativo compatível. Habilite a edição, se solicitado. As fórmulas e os gráficos são recalculados pelo aplicativo.</t>
        </is>
      </c>
    </row>
    <row r="11" ht="38" customHeight="1">
      <c r="B11" s="26" t="inlineStr">
        <is>
          <t>Tecnologias</t>
        </is>
      </c>
      <c r="C11" s="27" t="inlineStr">
        <is>
          <t>Microsoft Excel, tabelas estruturadas, fórmulas SUM, COUNTA, IFERROR, SUMIFS e SUMIF, gráficos de coluna, pizza e linha.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2026-10-18T02:41:35Z</dcterms:created>
  <dcterms:modified xmlns:dcterms="http://purl.org/dc/terms/" xmlns:xsi="http://www.w3.org/2001/XMLSchema-instance" xsi:type="dcterms:W3CDTF">2026-10-18T02:41:35Z</dcterms:modified>
</cp:coreProperties>
</file>